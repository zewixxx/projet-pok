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mindustrie67-my.sharepoint.com/personal/gaetan_salber_pim-industrie_fr/Documents/Documents/autre/"/>
    </mc:Choice>
  </mc:AlternateContent>
  <xr:revisionPtr revIDLastSave="0" documentId="8_{84845876-88DE-4C35-A639-5C2F9F0C0F88}" xr6:coauthVersionLast="47" xr6:coauthVersionMax="47" xr10:uidLastSave="{00000000-0000-0000-0000-000000000000}"/>
  <bookViews>
    <workbookView xWindow="-108" yWindow="-108" windowWidth="23256" windowHeight="12456" xr2:uid="{ADC6B1DA-DF1D-434F-9309-D3E2BC52E14E}"/>
  </bookViews>
  <sheets>
    <sheet name="Synthese" sheetId="3" r:id="rId1"/>
    <sheet name="Fonctionnalites" sheetId="2" r:id="rId2"/>
    <sheet name="En plus" sheetId="1" r:id="rId3"/>
  </sheets>
  <definedNames>
    <definedName name="_xlnm._FilterDatabase" localSheetId="2" hidden="1">'En plus'!$A$1:$D$13</definedName>
    <definedName name="_xlnm._FilterDatabase" localSheetId="1" hidden="1">Fonctionnalites!$A$1:$F$51</definedName>
    <definedName name="_xlnm.Print_Titles" localSheetId="1">Fonctionnalites!$1:$1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8" i="3" l="1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E12" i="3"/>
  <c r="D12" i="3"/>
  <c r="C12" i="3"/>
  <c r="B12" i="3"/>
  <c r="C8" i="3"/>
  <c r="B8" i="3"/>
  <c r="C7" i="3"/>
  <c r="B7" i="3"/>
  <c r="C6" i="3"/>
  <c r="B6" i="3"/>
  <c r="C5" i="3"/>
  <c r="B5" i="3"/>
</calcChain>
</file>

<file path=xl/sharedStrings.xml><?xml version="1.0" encoding="utf-8"?>
<sst xmlns="http://schemas.openxmlformats.org/spreadsheetml/2006/main" count="392" uniqueCount="272">
  <si>
    <t>Ref</t>
  </si>
  <si>
    <t>Bloc</t>
  </si>
  <si>
    <t>Fonctionnalite voulue</t>
  </si>
  <si>
    <t>Statut</t>
  </si>
  <si>
    <t>Ce qui est en place</t>
  </si>
  <si>
    <t>Ce qui manque</t>
  </si>
  <si>
    <t>FR1</t>
  </si>
  <si>
    <t>1. Import local</t>
  </si>
  <si>
    <t>Choisir un ou plusieurs fichiers d’historiques de mains et les importer</t>
  </si>
  <si>
    <t>Partiel</t>
  </si>
  <si>
    <t>L’écran Winamax permet de choisir un fichier .dat et un dossier de fichiers .txt.</t>
  </si>
  <si>
    <t>Pas de sélection de plusieurs fichiers à la fois. Le script d’import prévu (scripts/import-history.mjs) n’est pas dans le dépôt, alors que l’application l’appelle.</t>
  </si>
  <si>
    <t>FR2</t>
  </si>
  <si>
    <t>Lancer un import depuis un dossier déjà configuré</t>
  </si>
  <si>
    <t>On peut pointer un dossier d’historiques au moment de l’import Winamax.</t>
  </si>
  <si>
    <t>Le chemin n’est pas enregistré dans des réglages pour les imports suivants.</t>
  </si>
  <si>
    <t>FR3</t>
  </si>
  <si>
    <t>Détecter les mains déjà importées et ignorer les doublons</t>
  </si>
  <si>
    <t>Non fait</t>
  </si>
  <si>
    <t>Aucun mécanisme de dédoublonnage dans le code actuel.</t>
  </si>
  <si>
    <t>Une main importée deux fois serait reprise telle quelle.</t>
  </si>
  <si>
    <t>FR4</t>
  </si>
  <si>
    <t>Signaler les fichiers ou mains illisibles avec une explication utile</t>
  </si>
  <si>
    <t>L’écran Winamax affiche un message d’erreur et une liste de points indisponibles.</t>
  </si>
  <si>
    <t>Pas de liste main par main, avec la cause et une action de correction, dans le parcours de review.</t>
  </si>
  <si>
    <t>FR5</t>
  </si>
  <si>
    <t>Afficher un résumé d’import : mains valides, rejetées et en erreur</t>
  </si>
  <si>
    <t>Un bandeau montre le nombre de mains, de tournois, de sessions et le profit net.</t>
  </si>
  <si>
    <t>Il ne sépare pas les mains valides, rejetées et en erreur.</t>
  </si>
  <si>
    <t>FR6</t>
  </si>
  <si>
    <t>Consulter la liste des tournois importés</t>
  </si>
  <si>
    <t>En place</t>
  </si>
  <si>
    <t>La page Review affiche les tournois lus dans realData.json (nom, date, place, buy-in, nombre de mains).</t>
  </si>
  <si>
    <t>Si ce fichier est vide, un seul tournoi de démonstration s’affiche.</t>
  </si>
  <si>
    <t>FR7</t>
  </si>
  <si>
    <t>2. Review et EV</t>
  </si>
  <si>
    <t>Ouvrir la review détaillée d’un tournoi</t>
  </si>
  <si>
    <t>Cliquer un tournoi ouvre la table de replay.</t>
  </si>
  <si>
    <t>Les fichiers de mains (dossier hands/) ne sont pas versionnés. Sans eux, l’application rejoue des mains de démonstration, pas les mains du tournoi.</t>
  </si>
  <si>
    <t>FR8</t>
  </si>
  <si>
    <t>Naviguer main par main, action par action</t>
  </si>
  <si>
    <t>Contrôles précédent / suivant, lecture du pot, du board et des sièges.</t>
  </si>
  <si>
    <t>La navigation est réelle. Les mains affichées sont celles chargées, donc les mains de démo tant que l’import des mains n’a pas produit les fichiers.</t>
  </si>
  <si>
    <t>FR9</t>
  </si>
  <si>
    <t>Filtrer les mains à fort impact : all-in, gros pots, spots marqués</t>
  </si>
  <si>
    <t>Un panneau isole les spots très négatifs (EV−) et très positifs (EV+).</t>
  </si>
  <si>
    <t>Pas de filtre all-in, gros pot, ni spot marqué.</t>
  </si>
  <si>
    <t>FR10</t>
  </si>
  <si>
    <t>Marquer une main pour la revoir plus tard</t>
  </si>
  <si>
    <t>Aucun bouton de marquage, rien n’est enregistré.</t>
  </si>
  <si>
    <t>Impossible de retrouver plus tard une main choisie par le joueur.</t>
  </si>
  <si>
    <t>FR11</t>
  </si>
  <si>
    <t>Lancer à la demande un calcul d’espérance de gain (EV) sur la main</t>
  </si>
  <si>
    <t>Un comparatif EV s’affiche tout seul sur l’action du héros.</t>
  </si>
  <si>
    <t>Ce n’est pas un calcul lancé par le joueur. Les chiffres sont des écarts fixes selon le type d’action (par exemple +0,20 bb), pas un vrai solveur.</t>
  </si>
  <si>
    <t>FR12</t>
  </si>
  <si>
    <t>Comparer l’EV des actions possibles</t>
  </si>
  <si>
    <t>L’écran liste l’action jouée et une ou deux alternatives, avec une valeur en bb.</t>
  </si>
  <si>
    <t>Les valeurs sont approximatives et toujours du même ordre, quel que soit le spot.</t>
  </si>
  <si>
    <t>FR13</t>
  </si>
  <si>
    <t>Montrer l’impact EV de l’action réellement jouée</t>
  </si>
  <si>
    <t>L’écart est affiché dans le conseil et dans le panneau des spots à retenir.</t>
  </si>
  <si>
    <t>L’impact repose sur la même approximation, pas sur un calcul de main.</t>
  </si>
  <si>
    <t>FR14</t>
  </si>
  <si>
    <t>Relancer l’analyse EV après un changement de contexte</t>
  </si>
  <si>
    <t>Aucun réglage de contexte (profil, taille de mise, lecture adverse) à modifier.</t>
  </si>
  <si>
    <t>On ne peut pas recalculer la même main autrement.</t>
  </si>
  <si>
    <t>FR15</t>
  </si>
  <si>
    <t>Dire clairement quand l’EV ne peut pas être calculée</t>
  </si>
  <si>
    <t>Un message s’affiche : « Pas d’analyse pour ce coup » ou « Pas encore ton tour ».</t>
  </si>
  <si>
    <t>Le moteur invente presque toujours une EV, donc le cas « calcul impossible » arrive rarement.</t>
  </si>
  <si>
    <t>FR16</t>
  </si>
  <si>
    <t>3. Ranges et adversaires</t>
  </si>
  <si>
    <t>Afficher les ranges recommandées selon la situation</t>
  </si>
  <si>
    <t>Matrices 13×13 pour des spots pré-écrits (open, face à un open, face à un 3-bet, c-bet). Le spot est détecté sur la main.</t>
  </si>
  <si>
    <t>Ranges figées dans le code, pas calculées pour la main ni pour la limite.</t>
  </si>
  <si>
    <t>FR17</t>
  </si>
  <si>
    <t>Comparer la décision jouée à la range attendue</t>
  </si>
  <si>
    <t>La combo du héros est surlignée dans la matrice.</t>
  </si>
  <si>
    <t>Pas de verdict clair du type « dans la range » ou « hors range » relié à l’action jouée.</t>
  </si>
  <si>
    <t>FR18</t>
  </si>
  <si>
    <t>Relier une erreur de range à une fuite identifiable</t>
  </si>
  <si>
    <t>Les fuites du tableau de bord sont une liste écrite à la main.</t>
  </si>
  <si>
    <t>Aucun lien automatique entre un écart de range et une fuite.</t>
  </si>
  <si>
    <t>FR19</t>
  </si>
  <si>
    <t>Donner une explication pédagogique de l’écart</t>
  </si>
  <si>
    <t>Un conseil texte dit si la ligne semble bonne, moyenne ou une erreur, et le parcours fuite ajoute une explication.</t>
  </si>
  <si>
    <t>Le texte des vraies mains est une phrase type. Les explications détaillées ne concernent que les mains d’exemple des fuites.</t>
  </si>
  <si>
    <t>FR20</t>
  </si>
  <si>
    <t>Regrouper les erreurs de range par type de spot</t>
  </si>
  <si>
    <t>Pas d’écran de synthèse des écarts.</t>
  </si>
  <si>
    <t>On ne voit pas, par exemple, tous les mauvais calls en petite blind réunis.</t>
  </si>
  <si>
    <t>FR46</t>
  </si>
  <si>
    <t>Afficher les stats adverses : VPIP, PFR, 3-bet, fold to 3-bet, facteur d’agression</t>
  </si>
  <si>
    <t>Les sièges de la table ne montrent pas ces statistiques.</t>
  </si>
  <si>
    <t>Le tableau VPIP / PFR du score concerne le héros et ses chiffres sont fictifs.</t>
  </si>
  <si>
    <t>FR47</t>
  </si>
  <si>
    <t>Montrer ces stats adverses dans la main en cours</t>
  </si>
  <si>
    <t>Rien sur la main rejouée.</t>
  </si>
  <si>
    <t>Le joueur ne voit pas le profil de l’adversaire du spot.</t>
  </si>
  <si>
    <t>FR48</t>
  </si>
  <si>
    <t>Comparer sa décision à la dynamique des profils adverses</t>
  </si>
  <si>
    <t>Pas de lecture du type « face à un joueur loose, cette ligne change ».</t>
  </si>
  <si>
    <t>La review ne tient pas compte du profil adverse.</t>
  </si>
  <si>
    <t>FR49</t>
  </si>
  <si>
    <t>Filtrer ou chercher des spots selon le profil adverse</t>
  </si>
  <si>
    <t>Le seul filtre de la review est EV− / EV+.</t>
  </si>
  <si>
    <t>Impossible de chercher, par exemple, les mains contre les joueurs très agressifs.</t>
  </si>
  <si>
    <t>FR50</t>
  </si>
  <si>
    <t>Prévenir quand l’échantillon de stats adverses est trop faible</t>
  </si>
  <si>
    <t>Pas d’indicateur de fiabilité.</t>
  </si>
  <si>
    <t>Les stats adverses elles-mêmes ne sont pas calculées.</t>
  </si>
  <si>
    <t>FR21</t>
  </si>
  <si>
    <t>4. Fuites et entraînement</t>
  </si>
  <si>
    <t>Détecter automatiquement les fuites récurrentes à partir des mains</t>
  </si>
  <si>
    <t>Une liste de fuites s’affiche. L’écran Winamax ajoute quelques alertes à partir des résultats (ITM bas, sortie précoce).</t>
  </si>
  <si>
    <t>Les fuites du score sont écrites en dur. Elles ne sont pas déduites des décisions des mains.</t>
  </si>
  <si>
    <t>FR22</t>
  </si>
  <si>
    <t>Classer les fuites par gravité</t>
  </si>
  <si>
    <t>Chaque fuite affiche un niveau (critique, majeur, mineur).</t>
  </si>
  <si>
    <t>Le niveau est saisi dans les données d’exemple, pas calculé.</t>
  </si>
  <si>
    <t>FR23</t>
  </si>
  <si>
    <t>Classer les fuites par fréquence</t>
  </si>
  <si>
    <t>Un nombre d’occurrences est affiché.</t>
  </si>
  <si>
    <t>Ce nombre n’est pas compté sur les mains importées.</t>
  </si>
  <si>
    <t>FR24</t>
  </si>
  <si>
    <t>Classer les fuites par impact EV</t>
  </si>
  <si>
    <t>Un coût en bb/100 est affiché.</t>
  </si>
  <si>
    <t>Ce coût n’est pas calculé sur l’historique.</t>
  </si>
  <si>
    <t>FR25</t>
  </si>
  <si>
    <t>Consulter une liste de fuites priorisée</t>
  </si>
  <si>
    <t>La page Score montre la liste, et on peut ouvrir une fuite.</t>
  </si>
  <si>
    <t>L’ordre et le contenu sont ceux des exemples, pas ceux du joueur.</t>
  </si>
  <si>
    <t>FR26</t>
  </si>
  <si>
    <t>Recevoir des recommandations concrètes pour chaque fuite</t>
  </si>
  <si>
    <t>Chaque fuite d’exemple a un texte « quoi corriger » et des mains illustrées.</t>
  </si>
  <si>
    <t>Les recommandations ne changent pas selon les vraies mains.</t>
  </si>
  <si>
    <t>FR27</t>
  </si>
  <si>
    <t>Voir, pour chaque fuite, ce qu’il faut revoir en priorité</t>
  </si>
  <si>
    <t>Un parcours en 3 étapes : la main, l’analyse, les ranges.</t>
  </si>
  <si>
    <t>Les mains de ce parcours sont inventées pour la démo.</t>
  </si>
  <si>
    <t>FR28</t>
  </si>
  <si>
    <t>Distinguer une erreur de structure d’une erreur ponctuelle</t>
  </si>
  <si>
    <t>Toutes les fuites d’exemple sont présentées de la même façon.</t>
  </si>
  <si>
    <t>Pas de règle qui sépare l’habitude du coup isolé.</t>
  </si>
  <si>
    <t>FR29</t>
  </si>
  <si>
    <t>Associer des actions de travail à une fuite</t>
  </si>
  <si>
    <t>Le joueur ne peut pas ajouter un exercice ou une tâche.</t>
  </si>
  <si>
    <t>Pas de plan d’entraînement éditable.</t>
  </si>
  <si>
    <t>FR30</t>
  </si>
  <si>
    <t>Suivre l’évolution d’une fuite dans le temps</t>
  </si>
  <si>
    <t>Aucune courbe ni historique par fuite.</t>
  </si>
  <si>
    <t>On ne voit pas si la fuite diminue d’une session à l’autre.</t>
  </si>
  <si>
    <t>FR31</t>
  </si>
  <si>
    <t>5. Statistiques</t>
  </si>
  <si>
    <t>Consulter les statistiques globales de review</t>
  </si>
  <si>
    <t>La page Score calcule profit, ROI, ITM, mises et places à partir des sessions importées, avec un filtre de période.</t>
  </si>
  <si>
    <t>Ce sont des résultats de tournois, pas des statistiques de qualité de décision.</t>
  </si>
  <si>
    <t>FR32</t>
  </si>
  <si>
    <t>Consulter les statistiques par position</t>
  </si>
  <si>
    <t>Un tableau VPIP, PFR, 3-bet et EV par position est affiché.</t>
  </si>
  <si>
    <t>Le code indique « calcul futur ». Les chiffres sont des exemples fixes.</t>
  </si>
  <si>
    <t>FR33</t>
  </si>
  <si>
    <t>Voir les principales zones de perte d’EV</t>
  </si>
  <si>
    <t>Le panneau « Spots à retenir » liste les mains au score le plus négatif. Les fuites citent un coût.</t>
  </si>
  <si>
    <t>Ni le score ni le coût ne viennent d’un vrai calcul d’EV.</t>
  </si>
  <si>
    <t>FR34</t>
  </si>
  <si>
    <t>Visualiser la tendance de progression sur les sessions</t>
  </si>
  <si>
    <t>Courbe de profit cumulé, filtrable par période, à partir des vrais résultats importés.</t>
  </si>
  <si>
    <t>La courbe suit l’argent gagné ou perdu, pas la qualité des décisions.</t>
  </si>
  <si>
    <t>FR35</t>
  </si>
  <si>
    <t>Identifier les spots où l’on perd le plus d’EV</t>
  </si>
  <si>
    <t>Les 8 mains au score le plus bas sont listées.</t>
  </si>
  <si>
    <t>Le classement utilise l’approximation d’EV, pas les pertes réelles.</t>
  </si>
  <si>
    <t>FR36</t>
  </si>
  <si>
    <t>6. Diagnostic et mises à jour</t>
  </si>
  <si>
    <t>Lancer un diagnostic autonome</t>
  </si>
  <si>
    <t>Aucun écran ni bouton Diagnostic dans l’application.</t>
  </si>
  <si>
    <t>Les notes de projet marquent cette fonction terminée. Elle n’est pas dans le code actuel.</t>
  </si>
  <si>
    <t>FR37</t>
  </si>
  <si>
    <t>Vérifier la cohérence des données importées</t>
  </si>
  <si>
    <t>Pas de contrôle de cohérence lancé par l’utilisateur.</t>
  </si>
  <si>
    <t>Un fichier mal formé n’est pas signalé par un diagnostic.</t>
  </si>
  <si>
    <t>FR38</t>
  </si>
  <si>
    <t>Signaler les incohérences dans les résultats d’analyse</t>
  </si>
  <si>
    <t>Pas de contrôle sur les résultats EV ou les fuites.</t>
  </si>
  <si>
    <t>Rien n’alerte si une analyse est incohérente.</t>
  </si>
  <si>
    <t>FR39</t>
  </si>
  <si>
    <t>Proposer une action corrective en cas de problème</t>
  </si>
  <si>
    <t>Pas de parcours diagnostic → cause → correction.</t>
  </si>
  <si>
    <t>Les erreurs Winamax donnent un message, sans historique ni reprise guidée.</t>
  </si>
  <si>
    <t>FR40</t>
  </si>
  <si>
    <t>Consulter l’historique des incidents</t>
  </si>
  <si>
    <t>Aucun journal d’incidents.</t>
  </si>
  <si>
    <t>Les problèmes passés ne sont pas conservés.</t>
  </si>
  <si>
    <t>FR41</t>
  </si>
  <si>
    <t>Utiliser les fonctions cœur sans connexion internet</t>
  </si>
  <si>
    <t>L’application est locale (fenêtre Electron). La review et le score lisent des fichiers sur la machine.</t>
  </si>
  <si>
    <t>Le téléchargement d’un export Winamax par lien, lui, a besoin d’internet.</t>
  </si>
  <si>
    <t>FR42</t>
  </si>
  <si>
    <t>Retrouver ses données de review en local</t>
  </si>
  <si>
    <t>Sessions et tournois sont dans un JSON local. Le profil Winamax est stocké sur la machine.</t>
  </si>
  <si>
    <t>Le cahier prévoyait une base SQLite. Le code utilise des fichiers JSON.</t>
  </si>
  <si>
    <t>FR43</t>
  </si>
  <si>
    <t>Installer une nouvelle version à la main</t>
  </si>
  <si>
    <t>La configuration de build prévoit un installateur Windows et une version portable.</t>
  </si>
  <si>
    <t>Aucun parcours de mise à jour dans l’application, et aucun installateur n’est fourni dans le dépôt.</t>
  </si>
  <si>
    <t>FR44</t>
  </si>
  <si>
    <t>Garder les données utilisateur lors d’une mise à jour</t>
  </si>
  <si>
    <t>Pas de sauvegarde ni de restauration avant une mise à jour.</t>
  </si>
  <si>
    <t>Rien ne protège explicitement l’historique au moment de changer de version.</t>
  </si>
  <si>
    <t>FR45</t>
  </si>
  <si>
    <t>Configurer les chemins de dossiers utilisés par l’application</t>
  </si>
  <si>
    <t>Un dialogue permet de choisir le dossier d’historiques .txt. Winamax cherche aussi des dossiers habituels du client.</t>
  </si>
  <si>
    <t>Pas d’écran de réglages pour enregistrer ces chemins.</t>
  </si>
  <si>
    <t>Fonction</t>
  </si>
  <si>
    <t>Precision</t>
  </si>
  <si>
    <t>Application de bureau Windows</t>
  </si>
  <si>
    <t>Fenêtre Electron, menu Score / Review / Winamax.</t>
  </si>
  <si>
    <t>Le cahier demandait Tauri. C’est Electron qui a été développé.</t>
  </si>
  <si>
    <t>Replay visuel de la table</t>
  </si>
  <si>
    <t>Cartes, sièges, jetons, pot, board et fil des actions.</t>
  </si>
  <si>
    <t>C’est le support visuel de la review, pas une fonction séparée du cahier.</t>
  </si>
  <si>
    <t>Connexion d’un pseudo Winamax</t>
  </si>
  <si>
    <t>Saisie du pseudo, mémorisée en local, avec déconnexion.</t>
  </si>
  <si>
    <t>Ajout par rapport au cahier, centré sur Winamax.</t>
  </si>
  <si>
    <t>Import d’un export Winamax par lien</t>
  </si>
  <si>
    <t>Coller l’URL de l’email, mot de passe, téléchargement, puis lecture des .txt.</t>
  </si>
  <si>
    <t>Si le fichier .dat ne se déchiffre pas, il faut finir l’import dans le client Winamax.</t>
  </si>
  <si>
    <t>Déchiffrement d’un fichier .dat</t>
  </si>
  <si>
    <t>Tentative avec le mot de passe de l’email, choix d’un fichier local, ouverture du dossier, copie du mot de passe.</t>
  </si>
  <si>
    <t>Le format propriétaire Winamax peut bloquer le déchiffrement automatique.</t>
  </si>
  <si>
    <t>Rapport de résultats Winamax</t>
  </si>
  <si>
    <t>Profit, ROI, ITM, buy-in moyen, nombre de tournois et de mains, courbe, répartition par limite.</t>
  </si>
  <si>
    <t>Ce rapport parle des résultats en euros, pas de la qualité des décisions.</t>
  </si>
  <si>
    <t>Alertes à partir des résultats de tournois</t>
  </si>
  <si>
    <t>Messages si l’ITM récent est bas, si les sorties sont trop tôt, ou selon le niveau de buy-in.</t>
  </si>
  <si>
    <t>Ces alertes ne lisent pas les actions des mains.</t>
  </si>
  <si>
    <t>Filtre de période sur le score</t>
  </si>
  <si>
    <t>Raccourcis 1 mois, 3 mois, 6 mois, 1 an, tout, plus deux dates libres. La courbe et les totaux suivent.</t>
  </si>
  <si>
    <t>Le filtre ne s’applique pas aux fuites ni aux stats par position, qui sont fixes.</t>
  </si>
  <si>
    <t>Données de sessions déjà présentes</t>
  </si>
  <si>
    <t>realData.json contient les sessions et les tournois du héros zewix.</t>
  </si>
  <si>
    <t>Les mains détaillées de ces tournois ne sont pas dans le dépôt.</t>
  </si>
  <si>
    <t>Script qui transforme le dossier history/ en données</t>
  </si>
  <si>
    <t>Vite et Electron sont prévus pour lancer scripts/import-history.mjs.</t>
  </si>
  <si>
    <t>Ce fichier n’est pas dans le dépôt. L’import automatique ne peut donc pas régénérer les mains.</t>
  </si>
  <si>
    <t>Base SQLite locale avec migrations</t>
  </si>
  <si>
    <t>Prévue dans l’architecture.</t>
  </si>
  <si>
    <t>Remplacée dans les faits par des fichiers JSON.</t>
  </si>
  <si>
    <t>Installateur Windows (NSIS et portable)</t>
  </si>
  <si>
    <t>Réglages electron-builder dans package.json.</t>
  </si>
  <si>
    <t>Le dossier release/ n’est pas versionné. Il faut builder l’application pour obtenir l’installateur.</t>
  </si>
  <si>
    <t>Projet-pok - fonctionnalites voulues et mises en place</t>
  </si>
  <si>
    <t>Comparaison du cahier des charges (50 fonctions, 23 avril 2026) avec le code de la branche main (dernier commit : 10 aout 2026). Tableau fait le 26 octobre 2026.</t>
  </si>
  <si>
    <t>Nombre</t>
  </si>
  <si>
    <t>Part des 50 fonctions voulues</t>
  </si>
  <si>
    <t>Lecture</t>
  </si>
  <si>
    <t>L'ecran ou le calcul existe et correspond a la demande, sur de vraies donnees ou un vrai parcours.</t>
  </si>
  <si>
    <t>Une partie est visible, mais les chiffres sont d'exemple, le calcul est approximatif, ou il manque un bout du parcours.</t>
  </si>
  <si>
    <t>Absent du code actuel.</t>
  </si>
  <si>
    <t>Total voulu</t>
  </si>
  <si>
    <t>Par bloc</t>
  </si>
  <si>
    <t>Total</t>
  </si>
  <si>
    <t>A retenir</t>
  </si>
  <si>
    <t>Les notes internes du projet marquent les 6 blocs comme termines. Le code ne suit pas ce bilan : beaucoup d'ecrans existent, une partie des chiffres est fictive, et le diagnostic n'est pas dans l'application.</t>
  </si>
  <si>
    <t>L'esperance de gain (EV) affichee n'est pas un solveur. Ce sont des ecarts fixes selon le type d'action (fold, call, mise).</t>
  </si>
  <si>
    <t>Les fuites du score et les statistiques par position sont des exemples ecrits dans le code. Le commentaire du fichier dit Â« calcul futur Â».</t>
  </si>
  <si>
    <t>Les resultats de tournois (profit, ROI, ITM, courbe) viennent bien des sessions importees dans realData.json.</t>
  </si>
  <si>
    <t>Le script scripts/import-history.mjs est appele par l'application pour fabriquer les mains, mais ce fichier n'est pas dans le depot. Les mains detaillees (dossier hands/) ne sont pas versionnees non plus.</t>
  </si>
  <si>
    <t>La conception prevoyait Tauri et une base SQLite. L'application est une fenetre Electron et stocke des fichiers JSON.</t>
  </si>
  <si>
    <t>La feuille Â« En plus Â» liste ce qui a ete construit autour du cahier : ecran Winamax, replay de table, installateur, et les ecarts de technique.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</si>
</sst>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8"/>
      <color rgb="FF0F172A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B2A4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4F7F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8E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0" fontId="0" fillId="7" borderId="0" xfId="0" applyFill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9" fontId="0" fillId="0" borderId="1" xfId="0" applyNumberFormat="1" applyBorder="1" applyAlignment="1">
      <alignment vertical="top"/>
    </xf>
    <xf numFmtId="0" fontId="0" fillId="0" borderId="1" xfId="0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9" fontId="1" fillId="0" borderId="1" xfId="0" applyNumberFormat="1" applyFont="1" applyBorder="1" applyAlignment="1">
      <alignment vertical="top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4" borderId="1" xfId="0" applyFill="1" applyBorder="1"/>
    <xf numFmtId="0" fontId="1" fillId="0" borderId="1" xfId="0" applyFont="1" applyBorder="1"/>
    <xf numFmtId="0" fontId="4" fillId="4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7E11-9C4E-4848-8FEB-0A500FF8F1A5}">
  <dimension ref="A1:F27"/>
  <sheetViews>
    <sheetView tabSelected="1" workbookViewId="0">
      <selection sqref="A1:F1"/>
    </sheetView>
  </sheetViews>
  <sheetFormatPr baseColWidth="10" defaultRowHeight="14.4" x14ac:dyDescent="0.3"/>
  <cols>
    <col min="1" max="1" width="32.77734375" customWidth="1"/>
    <col min="2" max="2" width="16.77734375" customWidth="1"/>
    <col min="3" max="3" width="22.77734375" customWidth="1"/>
    <col min="4" max="4" width="78.77734375" customWidth="1"/>
    <col min="5" max="5" width="14.77734375" customWidth="1"/>
    <col min="6" max="6" width="18.77734375" customWidth="1"/>
  </cols>
  <sheetData>
    <row r="1" spans="1:6" ht="28.05" customHeight="1" x14ac:dyDescent="0.45">
      <c r="A1" s="2" t="s">
        <v>253</v>
      </c>
      <c r="B1" s="1"/>
      <c r="C1" s="1"/>
      <c r="D1" s="1"/>
      <c r="E1" s="1"/>
      <c r="F1" s="1"/>
    </row>
    <row r="2" spans="1:6" ht="31.95" customHeight="1" x14ac:dyDescent="0.3">
      <c r="A2" s="3" t="s">
        <v>254</v>
      </c>
      <c r="B2" s="3"/>
      <c r="C2" s="3"/>
      <c r="D2" s="3"/>
      <c r="E2" s="3"/>
      <c r="F2" s="3"/>
    </row>
    <row r="4" spans="1:6" ht="31.95" customHeight="1" x14ac:dyDescent="0.3">
      <c r="A4" s="6" t="s">
        <v>3</v>
      </c>
      <c r="B4" s="6" t="s">
        <v>255</v>
      </c>
      <c r="C4" s="6" t="s">
        <v>256</v>
      </c>
      <c r="D4" s="6" t="s">
        <v>257</v>
      </c>
    </row>
    <row r="5" spans="1:6" ht="31.95" customHeight="1" x14ac:dyDescent="0.3">
      <c r="A5" s="7" t="s">
        <v>31</v>
      </c>
      <c r="B5" s="8">
        <f>COUNTIF(Fonctionnalites!D:D,"En place")</f>
        <v>6</v>
      </c>
      <c r="C5" s="9">
        <f>B5/COUNTA(Fonctionnalites!A2:A200)</f>
        <v>0.12</v>
      </c>
      <c r="D5" s="10" t="s">
        <v>258</v>
      </c>
    </row>
    <row r="6" spans="1:6" ht="31.95" customHeight="1" x14ac:dyDescent="0.3">
      <c r="A6" s="11" t="s">
        <v>9</v>
      </c>
      <c r="B6" s="8">
        <f>COUNTIF(Fonctionnalites!D:D,"Partiel")</f>
        <v>25</v>
      </c>
      <c r="C6" s="9">
        <f>B6/COUNTA(Fonctionnalites!A2:A200)</f>
        <v>0.5</v>
      </c>
      <c r="D6" s="10" t="s">
        <v>259</v>
      </c>
    </row>
    <row r="7" spans="1:6" ht="31.95" customHeight="1" x14ac:dyDescent="0.3">
      <c r="A7" s="12" t="s">
        <v>18</v>
      </c>
      <c r="B7" s="8">
        <f>COUNTIF(Fonctionnalites!D:D,"Non fait")</f>
        <v>19</v>
      </c>
      <c r="C7" s="9">
        <f>B7/COUNTA(Fonctionnalites!A2:A200)</f>
        <v>0.38</v>
      </c>
      <c r="D7" s="10" t="s">
        <v>260</v>
      </c>
    </row>
    <row r="8" spans="1:6" x14ac:dyDescent="0.3">
      <c r="A8" s="13" t="s">
        <v>261</v>
      </c>
      <c r="B8" s="14">
        <f>SUM(B5:B7)</f>
        <v>50</v>
      </c>
      <c r="C8" s="15">
        <f>B8/B8</f>
        <v>1</v>
      </c>
      <c r="D8" s="13"/>
    </row>
    <row r="10" spans="1:6" ht="18" x14ac:dyDescent="0.35">
      <c r="A10" s="4" t="s">
        <v>262</v>
      </c>
    </row>
    <row r="11" spans="1:6" ht="31.95" customHeight="1" x14ac:dyDescent="0.3">
      <c r="A11" s="6" t="s">
        <v>1</v>
      </c>
      <c r="B11" s="6" t="s">
        <v>31</v>
      </c>
      <c r="C11" s="6" t="s">
        <v>9</v>
      </c>
      <c r="D11" s="6" t="s">
        <v>18</v>
      </c>
      <c r="E11" s="6" t="s">
        <v>263</v>
      </c>
    </row>
    <row r="12" spans="1:6" x14ac:dyDescent="0.3">
      <c r="A12" s="16" t="s">
        <v>7</v>
      </c>
      <c r="B12" s="17">
        <f>COUNTIFS(Fonctionnalites!B:B,A12,Fonctionnalites!D:D,"En place")</f>
        <v>3</v>
      </c>
      <c r="C12" s="16">
        <f>COUNTIFS(Fonctionnalites!B:B,A12,Fonctionnalites!D:D,"Partiel")</f>
        <v>5</v>
      </c>
      <c r="D12" s="16">
        <f>COUNTIFS(Fonctionnalites!B:B,A12,Fonctionnalites!D:D,"Non fait")</f>
        <v>1</v>
      </c>
      <c r="E12" s="16">
        <f>SUM(B12)</f>
        <v>3</v>
      </c>
    </row>
    <row r="13" spans="1:6" x14ac:dyDescent="0.3">
      <c r="A13" s="18" t="s">
        <v>35</v>
      </c>
      <c r="B13" s="17">
        <f>COUNTIFS(Fonctionnalites!B:B,A13,Fonctionnalites!D:D,"En place")</f>
        <v>1</v>
      </c>
      <c r="C13" s="16">
        <f>COUNTIFS(Fonctionnalites!B:B,A13,Fonctionnalites!D:D,"Partiel")</f>
        <v>6</v>
      </c>
      <c r="D13" s="16">
        <f>COUNTIFS(Fonctionnalites!B:B,A13,Fonctionnalites!D:D,"Non fait")</f>
        <v>2</v>
      </c>
      <c r="E13" s="16">
        <f>SUM(B13)</f>
        <v>1</v>
      </c>
    </row>
    <row r="14" spans="1:6" x14ac:dyDescent="0.3">
      <c r="A14" s="16" t="s">
        <v>72</v>
      </c>
      <c r="B14" s="17">
        <f>COUNTIFS(Fonctionnalites!B:B,A14,Fonctionnalites!D:D,"En place")</f>
        <v>0</v>
      </c>
      <c r="C14" s="16">
        <f>COUNTIFS(Fonctionnalites!B:B,A14,Fonctionnalites!D:D,"Partiel")</f>
        <v>3</v>
      </c>
      <c r="D14" s="16">
        <f>COUNTIFS(Fonctionnalites!B:B,A14,Fonctionnalites!D:D,"Non fait")</f>
        <v>7</v>
      </c>
      <c r="E14" s="16">
        <f>SUM(B14)</f>
        <v>0</v>
      </c>
    </row>
    <row r="15" spans="1:6" x14ac:dyDescent="0.3">
      <c r="A15" s="18" t="s">
        <v>113</v>
      </c>
      <c r="B15" s="17">
        <f>COUNTIFS(Fonctionnalites!B:B,A15,Fonctionnalites!D:D,"En place")</f>
        <v>0</v>
      </c>
      <c r="C15" s="16">
        <f>COUNTIFS(Fonctionnalites!B:B,A15,Fonctionnalites!D:D,"Partiel")</f>
        <v>7</v>
      </c>
      <c r="D15" s="16">
        <f>COUNTIFS(Fonctionnalites!B:B,A15,Fonctionnalites!D:D,"Non fait")</f>
        <v>3</v>
      </c>
      <c r="E15" s="16">
        <f>SUM(B15)</f>
        <v>0</v>
      </c>
    </row>
    <row r="16" spans="1:6" x14ac:dyDescent="0.3">
      <c r="A16" s="16" t="s">
        <v>154</v>
      </c>
      <c r="B16" s="17">
        <f>COUNTIFS(Fonctionnalites!B:B,A16,Fonctionnalites!D:D,"En place")</f>
        <v>2</v>
      </c>
      <c r="C16" s="16">
        <f>COUNTIFS(Fonctionnalites!B:B,A16,Fonctionnalites!D:D,"Partiel")</f>
        <v>3</v>
      </c>
      <c r="D16" s="16">
        <f>COUNTIFS(Fonctionnalites!B:B,A16,Fonctionnalites!D:D,"Non fait")</f>
        <v>0</v>
      </c>
      <c r="E16" s="16">
        <f>SUM(B16)</f>
        <v>2</v>
      </c>
    </row>
    <row r="17" spans="1:5" x14ac:dyDescent="0.3">
      <c r="A17" s="18" t="s">
        <v>175</v>
      </c>
      <c r="B17" s="17">
        <f>COUNTIFS(Fonctionnalites!B:B,A17,Fonctionnalites!D:D,"En place")</f>
        <v>0</v>
      </c>
      <c r="C17" s="16">
        <f>COUNTIFS(Fonctionnalites!B:B,A17,Fonctionnalites!D:D,"Partiel")</f>
        <v>1</v>
      </c>
      <c r="D17" s="16">
        <f>COUNTIFS(Fonctionnalites!B:B,A17,Fonctionnalites!D:D,"Non fait")</f>
        <v>6</v>
      </c>
      <c r="E17" s="16">
        <f>SUM(B17)</f>
        <v>0</v>
      </c>
    </row>
    <row r="18" spans="1:5" x14ac:dyDescent="0.3">
      <c r="A18" s="19" t="s">
        <v>263</v>
      </c>
      <c r="B18" s="19">
        <f>SUM(B12:B17)</f>
        <v>6</v>
      </c>
      <c r="C18" s="19">
        <f>SUM(C12:C17)</f>
        <v>25</v>
      </c>
      <c r="D18" s="19">
        <f>SUM(D12:D17)</f>
        <v>19</v>
      </c>
      <c r="E18" s="19">
        <f>SUM(E12:E17)</f>
        <v>6</v>
      </c>
    </row>
    <row r="20" spans="1:5" ht="18" x14ac:dyDescent="0.35">
      <c r="A20" s="4" t="s">
        <v>264</v>
      </c>
    </row>
    <row r="21" spans="1:5" ht="31.95" customHeight="1" x14ac:dyDescent="0.3">
      <c r="A21" s="5" t="s">
        <v>265</v>
      </c>
    </row>
    <row r="22" spans="1:5" ht="31.95" customHeight="1" x14ac:dyDescent="0.3">
      <c r="A22" s="5" t="s">
        <v>266</v>
      </c>
    </row>
    <row r="23" spans="1:5" ht="31.95" customHeight="1" x14ac:dyDescent="0.3">
      <c r="A23" s="5" t="s">
        <v>267</v>
      </c>
    </row>
    <row r="24" spans="1:5" ht="31.95" customHeight="1" x14ac:dyDescent="0.3">
      <c r="A24" s="5" t="s">
        <v>268</v>
      </c>
    </row>
    <row r="25" spans="1:5" ht="31.95" customHeight="1" x14ac:dyDescent="0.3">
      <c r="A25" s="5" t="s">
        <v>269</v>
      </c>
    </row>
    <row r="26" spans="1:5" ht="31.95" customHeight="1" x14ac:dyDescent="0.3">
      <c r="A26" s="5" t="s">
        <v>270</v>
      </c>
    </row>
    <row r="27" spans="1:5" ht="31.95" customHeight="1" x14ac:dyDescent="0.3">
      <c r="A27" s="5" t="s">
        <v>271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A71F-5AD4-4911-BFF4-EC2E6482BFA5}">
  <dimension ref="A1:F51"/>
  <sheetViews>
    <sheetView workbookViewId="0">
      <pane ySplit="1" topLeftCell="A2" activePane="bottomLeft" state="frozenSplit"/>
      <selection pane="bottomLeft"/>
    </sheetView>
  </sheetViews>
  <sheetFormatPr baseColWidth="10" defaultRowHeight="14.4" x14ac:dyDescent="0.3"/>
  <cols>
    <col min="1" max="1" width="10.77734375" customWidth="1"/>
    <col min="2" max="2" width="28.77734375" customWidth="1"/>
    <col min="3" max="3" width="52.77734375" customWidth="1"/>
    <col min="4" max="4" width="14.77734375" customWidth="1"/>
    <col min="5" max="5" width="62.77734375" customWidth="1"/>
    <col min="6" max="6" width="58.77734375" customWidth="1"/>
  </cols>
  <sheetData>
    <row r="1" spans="1:6" ht="31.9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ht="48" customHeight="1" x14ac:dyDescent="0.3">
      <c r="A2" s="20" t="s">
        <v>6</v>
      </c>
      <c r="B2" s="21" t="s">
        <v>7</v>
      </c>
      <c r="C2" s="21" t="s">
        <v>8</v>
      </c>
      <c r="D2" s="22" t="s">
        <v>9</v>
      </c>
      <c r="E2" s="21" t="s">
        <v>10</v>
      </c>
      <c r="F2" s="21" t="s">
        <v>11</v>
      </c>
    </row>
    <row r="3" spans="1:6" ht="48" customHeight="1" x14ac:dyDescent="0.3">
      <c r="A3" s="23" t="s">
        <v>12</v>
      </c>
      <c r="B3" s="24" t="s">
        <v>7</v>
      </c>
      <c r="C3" s="24" t="s">
        <v>13</v>
      </c>
      <c r="D3" s="22" t="s">
        <v>9</v>
      </c>
      <c r="E3" s="24" t="s">
        <v>14</v>
      </c>
      <c r="F3" s="24" t="s">
        <v>15</v>
      </c>
    </row>
    <row r="4" spans="1:6" ht="48" customHeight="1" x14ac:dyDescent="0.3">
      <c r="A4" s="20" t="s">
        <v>16</v>
      </c>
      <c r="B4" s="21" t="s">
        <v>7</v>
      </c>
      <c r="C4" s="21" t="s">
        <v>17</v>
      </c>
      <c r="D4" s="25" t="s">
        <v>18</v>
      </c>
      <c r="E4" s="21" t="s">
        <v>19</v>
      </c>
      <c r="F4" s="21" t="s">
        <v>20</v>
      </c>
    </row>
    <row r="5" spans="1:6" ht="48" customHeight="1" x14ac:dyDescent="0.3">
      <c r="A5" s="23" t="s">
        <v>21</v>
      </c>
      <c r="B5" s="24" t="s">
        <v>7</v>
      </c>
      <c r="C5" s="24" t="s">
        <v>22</v>
      </c>
      <c r="D5" s="22" t="s">
        <v>9</v>
      </c>
      <c r="E5" s="24" t="s">
        <v>23</v>
      </c>
      <c r="F5" s="24" t="s">
        <v>24</v>
      </c>
    </row>
    <row r="6" spans="1:6" ht="48" customHeight="1" x14ac:dyDescent="0.3">
      <c r="A6" s="20" t="s">
        <v>25</v>
      </c>
      <c r="B6" s="21" t="s">
        <v>7</v>
      </c>
      <c r="C6" s="21" t="s">
        <v>26</v>
      </c>
      <c r="D6" s="22" t="s">
        <v>9</v>
      </c>
      <c r="E6" s="21" t="s">
        <v>27</v>
      </c>
      <c r="F6" s="21" t="s">
        <v>28</v>
      </c>
    </row>
    <row r="7" spans="1:6" ht="48" customHeight="1" x14ac:dyDescent="0.3">
      <c r="A7" s="23" t="s">
        <v>29</v>
      </c>
      <c r="B7" s="24" t="s">
        <v>7</v>
      </c>
      <c r="C7" s="24" t="s">
        <v>30</v>
      </c>
      <c r="D7" s="26" t="s">
        <v>31</v>
      </c>
      <c r="E7" s="24" t="s">
        <v>32</v>
      </c>
      <c r="F7" s="24" t="s">
        <v>33</v>
      </c>
    </row>
    <row r="8" spans="1:6" ht="48" customHeight="1" x14ac:dyDescent="0.3">
      <c r="A8" s="20" t="s">
        <v>34</v>
      </c>
      <c r="B8" s="21" t="s">
        <v>35</v>
      </c>
      <c r="C8" s="21" t="s">
        <v>36</v>
      </c>
      <c r="D8" s="22" t="s">
        <v>9</v>
      </c>
      <c r="E8" s="21" t="s">
        <v>37</v>
      </c>
      <c r="F8" s="21" t="s">
        <v>38</v>
      </c>
    </row>
    <row r="9" spans="1:6" ht="48" customHeight="1" x14ac:dyDescent="0.3">
      <c r="A9" s="23" t="s">
        <v>39</v>
      </c>
      <c r="B9" s="24" t="s">
        <v>35</v>
      </c>
      <c r="C9" s="24" t="s">
        <v>40</v>
      </c>
      <c r="D9" s="26" t="s">
        <v>31</v>
      </c>
      <c r="E9" s="24" t="s">
        <v>41</v>
      </c>
      <c r="F9" s="24" t="s">
        <v>42</v>
      </c>
    </row>
    <row r="10" spans="1:6" ht="48" customHeight="1" x14ac:dyDescent="0.3">
      <c r="A10" s="20" t="s">
        <v>43</v>
      </c>
      <c r="B10" s="21" t="s">
        <v>35</v>
      </c>
      <c r="C10" s="21" t="s">
        <v>44</v>
      </c>
      <c r="D10" s="22" t="s">
        <v>9</v>
      </c>
      <c r="E10" s="21" t="s">
        <v>45</v>
      </c>
      <c r="F10" s="21" t="s">
        <v>46</v>
      </c>
    </row>
    <row r="11" spans="1:6" ht="48" customHeight="1" x14ac:dyDescent="0.3">
      <c r="A11" s="23" t="s">
        <v>47</v>
      </c>
      <c r="B11" s="24" t="s">
        <v>35</v>
      </c>
      <c r="C11" s="24" t="s">
        <v>48</v>
      </c>
      <c r="D11" s="25" t="s">
        <v>18</v>
      </c>
      <c r="E11" s="24" t="s">
        <v>49</v>
      </c>
      <c r="F11" s="24" t="s">
        <v>50</v>
      </c>
    </row>
    <row r="12" spans="1:6" ht="48" customHeight="1" x14ac:dyDescent="0.3">
      <c r="A12" s="20" t="s">
        <v>51</v>
      </c>
      <c r="B12" s="21" t="s">
        <v>35</v>
      </c>
      <c r="C12" s="21" t="s">
        <v>52</v>
      </c>
      <c r="D12" s="22" t="s">
        <v>9</v>
      </c>
      <c r="E12" s="21" t="s">
        <v>53</v>
      </c>
      <c r="F12" s="21" t="s">
        <v>54</v>
      </c>
    </row>
    <row r="13" spans="1:6" ht="48" customHeight="1" x14ac:dyDescent="0.3">
      <c r="A13" s="23" t="s">
        <v>55</v>
      </c>
      <c r="B13" s="24" t="s">
        <v>35</v>
      </c>
      <c r="C13" s="24" t="s">
        <v>56</v>
      </c>
      <c r="D13" s="22" t="s">
        <v>9</v>
      </c>
      <c r="E13" s="24" t="s">
        <v>57</v>
      </c>
      <c r="F13" s="24" t="s">
        <v>58</v>
      </c>
    </row>
    <row r="14" spans="1:6" ht="48" customHeight="1" x14ac:dyDescent="0.3">
      <c r="A14" s="20" t="s">
        <v>59</v>
      </c>
      <c r="B14" s="21" t="s">
        <v>35</v>
      </c>
      <c r="C14" s="21" t="s">
        <v>60</v>
      </c>
      <c r="D14" s="22" t="s">
        <v>9</v>
      </c>
      <c r="E14" s="21" t="s">
        <v>61</v>
      </c>
      <c r="F14" s="21" t="s">
        <v>62</v>
      </c>
    </row>
    <row r="15" spans="1:6" ht="48" customHeight="1" x14ac:dyDescent="0.3">
      <c r="A15" s="23" t="s">
        <v>63</v>
      </c>
      <c r="B15" s="24" t="s">
        <v>35</v>
      </c>
      <c r="C15" s="24" t="s">
        <v>64</v>
      </c>
      <c r="D15" s="25" t="s">
        <v>18</v>
      </c>
      <c r="E15" s="24" t="s">
        <v>65</v>
      </c>
      <c r="F15" s="24" t="s">
        <v>66</v>
      </c>
    </row>
    <row r="16" spans="1:6" ht="48" customHeight="1" x14ac:dyDescent="0.3">
      <c r="A16" s="20" t="s">
        <v>67</v>
      </c>
      <c r="B16" s="21" t="s">
        <v>35</v>
      </c>
      <c r="C16" s="21" t="s">
        <v>68</v>
      </c>
      <c r="D16" s="22" t="s">
        <v>9</v>
      </c>
      <c r="E16" s="21" t="s">
        <v>69</v>
      </c>
      <c r="F16" s="21" t="s">
        <v>70</v>
      </c>
    </row>
    <row r="17" spans="1:6" ht="48" customHeight="1" x14ac:dyDescent="0.3">
      <c r="A17" s="23" t="s">
        <v>71</v>
      </c>
      <c r="B17" s="24" t="s">
        <v>72</v>
      </c>
      <c r="C17" s="24" t="s">
        <v>73</v>
      </c>
      <c r="D17" s="22" t="s">
        <v>9</v>
      </c>
      <c r="E17" s="24" t="s">
        <v>74</v>
      </c>
      <c r="F17" s="24" t="s">
        <v>75</v>
      </c>
    </row>
    <row r="18" spans="1:6" ht="48" customHeight="1" x14ac:dyDescent="0.3">
      <c r="A18" s="20" t="s">
        <v>76</v>
      </c>
      <c r="B18" s="21" t="s">
        <v>72</v>
      </c>
      <c r="C18" s="21" t="s">
        <v>77</v>
      </c>
      <c r="D18" s="22" t="s">
        <v>9</v>
      </c>
      <c r="E18" s="21" t="s">
        <v>78</v>
      </c>
      <c r="F18" s="21" t="s">
        <v>79</v>
      </c>
    </row>
    <row r="19" spans="1:6" ht="48" customHeight="1" x14ac:dyDescent="0.3">
      <c r="A19" s="23" t="s">
        <v>80</v>
      </c>
      <c r="B19" s="24" t="s">
        <v>72</v>
      </c>
      <c r="C19" s="24" t="s">
        <v>81</v>
      </c>
      <c r="D19" s="25" t="s">
        <v>18</v>
      </c>
      <c r="E19" s="24" t="s">
        <v>82</v>
      </c>
      <c r="F19" s="24" t="s">
        <v>83</v>
      </c>
    </row>
    <row r="20" spans="1:6" ht="48" customHeight="1" x14ac:dyDescent="0.3">
      <c r="A20" s="20" t="s">
        <v>84</v>
      </c>
      <c r="B20" s="21" t="s">
        <v>72</v>
      </c>
      <c r="C20" s="21" t="s">
        <v>85</v>
      </c>
      <c r="D20" s="22" t="s">
        <v>9</v>
      </c>
      <c r="E20" s="21" t="s">
        <v>86</v>
      </c>
      <c r="F20" s="21" t="s">
        <v>87</v>
      </c>
    </row>
    <row r="21" spans="1:6" ht="48" customHeight="1" x14ac:dyDescent="0.3">
      <c r="A21" s="23" t="s">
        <v>88</v>
      </c>
      <c r="B21" s="24" t="s">
        <v>72</v>
      </c>
      <c r="C21" s="24" t="s">
        <v>89</v>
      </c>
      <c r="D21" s="25" t="s">
        <v>18</v>
      </c>
      <c r="E21" s="24" t="s">
        <v>90</v>
      </c>
      <c r="F21" s="24" t="s">
        <v>91</v>
      </c>
    </row>
    <row r="22" spans="1:6" ht="48" customHeight="1" x14ac:dyDescent="0.3">
      <c r="A22" s="20" t="s">
        <v>92</v>
      </c>
      <c r="B22" s="21" t="s">
        <v>72</v>
      </c>
      <c r="C22" s="21" t="s">
        <v>93</v>
      </c>
      <c r="D22" s="25" t="s">
        <v>18</v>
      </c>
      <c r="E22" s="21" t="s">
        <v>94</v>
      </c>
      <c r="F22" s="21" t="s">
        <v>95</v>
      </c>
    </row>
    <row r="23" spans="1:6" ht="48" customHeight="1" x14ac:dyDescent="0.3">
      <c r="A23" s="23" t="s">
        <v>96</v>
      </c>
      <c r="B23" s="24" t="s">
        <v>72</v>
      </c>
      <c r="C23" s="24" t="s">
        <v>97</v>
      </c>
      <c r="D23" s="25" t="s">
        <v>18</v>
      </c>
      <c r="E23" s="24" t="s">
        <v>98</v>
      </c>
      <c r="F23" s="24" t="s">
        <v>99</v>
      </c>
    </row>
    <row r="24" spans="1:6" ht="48" customHeight="1" x14ac:dyDescent="0.3">
      <c r="A24" s="20" t="s">
        <v>100</v>
      </c>
      <c r="B24" s="21" t="s">
        <v>72</v>
      </c>
      <c r="C24" s="21" t="s">
        <v>101</v>
      </c>
      <c r="D24" s="25" t="s">
        <v>18</v>
      </c>
      <c r="E24" s="21" t="s">
        <v>102</v>
      </c>
      <c r="F24" s="21" t="s">
        <v>103</v>
      </c>
    </row>
    <row r="25" spans="1:6" ht="48" customHeight="1" x14ac:dyDescent="0.3">
      <c r="A25" s="23" t="s">
        <v>104</v>
      </c>
      <c r="B25" s="24" t="s">
        <v>72</v>
      </c>
      <c r="C25" s="24" t="s">
        <v>105</v>
      </c>
      <c r="D25" s="25" t="s">
        <v>18</v>
      </c>
      <c r="E25" s="24" t="s">
        <v>106</v>
      </c>
      <c r="F25" s="24" t="s">
        <v>107</v>
      </c>
    </row>
    <row r="26" spans="1:6" ht="48" customHeight="1" x14ac:dyDescent="0.3">
      <c r="A26" s="20" t="s">
        <v>108</v>
      </c>
      <c r="B26" s="21" t="s">
        <v>72</v>
      </c>
      <c r="C26" s="21" t="s">
        <v>109</v>
      </c>
      <c r="D26" s="25" t="s">
        <v>18</v>
      </c>
      <c r="E26" s="21" t="s">
        <v>110</v>
      </c>
      <c r="F26" s="21" t="s">
        <v>111</v>
      </c>
    </row>
    <row r="27" spans="1:6" ht="48" customHeight="1" x14ac:dyDescent="0.3">
      <c r="A27" s="23" t="s">
        <v>112</v>
      </c>
      <c r="B27" s="24" t="s">
        <v>113</v>
      </c>
      <c r="C27" s="24" t="s">
        <v>114</v>
      </c>
      <c r="D27" s="22" t="s">
        <v>9</v>
      </c>
      <c r="E27" s="24" t="s">
        <v>115</v>
      </c>
      <c r="F27" s="24" t="s">
        <v>116</v>
      </c>
    </row>
    <row r="28" spans="1:6" ht="48" customHeight="1" x14ac:dyDescent="0.3">
      <c r="A28" s="20" t="s">
        <v>117</v>
      </c>
      <c r="B28" s="21" t="s">
        <v>113</v>
      </c>
      <c r="C28" s="21" t="s">
        <v>118</v>
      </c>
      <c r="D28" s="22" t="s">
        <v>9</v>
      </c>
      <c r="E28" s="21" t="s">
        <v>119</v>
      </c>
      <c r="F28" s="21" t="s">
        <v>120</v>
      </c>
    </row>
    <row r="29" spans="1:6" ht="48" customHeight="1" x14ac:dyDescent="0.3">
      <c r="A29" s="23" t="s">
        <v>121</v>
      </c>
      <c r="B29" s="24" t="s">
        <v>113</v>
      </c>
      <c r="C29" s="24" t="s">
        <v>122</v>
      </c>
      <c r="D29" s="22" t="s">
        <v>9</v>
      </c>
      <c r="E29" s="24" t="s">
        <v>123</v>
      </c>
      <c r="F29" s="24" t="s">
        <v>124</v>
      </c>
    </row>
    <row r="30" spans="1:6" ht="48" customHeight="1" x14ac:dyDescent="0.3">
      <c r="A30" s="20" t="s">
        <v>125</v>
      </c>
      <c r="B30" s="21" t="s">
        <v>113</v>
      </c>
      <c r="C30" s="21" t="s">
        <v>126</v>
      </c>
      <c r="D30" s="22" t="s">
        <v>9</v>
      </c>
      <c r="E30" s="21" t="s">
        <v>127</v>
      </c>
      <c r="F30" s="21" t="s">
        <v>128</v>
      </c>
    </row>
    <row r="31" spans="1:6" ht="48" customHeight="1" x14ac:dyDescent="0.3">
      <c r="A31" s="23" t="s">
        <v>129</v>
      </c>
      <c r="B31" s="24" t="s">
        <v>113</v>
      </c>
      <c r="C31" s="24" t="s">
        <v>130</v>
      </c>
      <c r="D31" s="22" t="s">
        <v>9</v>
      </c>
      <c r="E31" s="24" t="s">
        <v>131</v>
      </c>
      <c r="F31" s="24" t="s">
        <v>132</v>
      </c>
    </row>
    <row r="32" spans="1:6" ht="48" customHeight="1" x14ac:dyDescent="0.3">
      <c r="A32" s="20" t="s">
        <v>133</v>
      </c>
      <c r="B32" s="21" t="s">
        <v>113</v>
      </c>
      <c r="C32" s="21" t="s">
        <v>134</v>
      </c>
      <c r="D32" s="22" t="s">
        <v>9</v>
      </c>
      <c r="E32" s="21" t="s">
        <v>135</v>
      </c>
      <c r="F32" s="21" t="s">
        <v>136</v>
      </c>
    </row>
    <row r="33" spans="1:6" ht="48" customHeight="1" x14ac:dyDescent="0.3">
      <c r="A33" s="23" t="s">
        <v>137</v>
      </c>
      <c r="B33" s="24" t="s">
        <v>113</v>
      </c>
      <c r="C33" s="24" t="s">
        <v>138</v>
      </c>
      <c r="D33" s="22" t="s">
        <v>9</v>
      </c>
      <c r="E33" s="24" t="s">
        <v>139</v>
      </c>
      <c r="F33" s="24" t="s">
        <v>140</v>
      </c>
    </row>
    <row r="34" spans="1:6" ht="48" customHeight="1" x14ac:dyDescent="0.3">
      <c r="A34" s="20" t="s">
        <v>141</v>
      </c>
      <c r="B34" s="21" t="s">
        <v>113</v>
      </c>
      <c r="C34" s="21" t="s">
        <v>142</v>
      </c>
      <c r="D34" s="25" t="s">
        <v>18</v>
      </c>
      <c r="E34" s="21" t="s">
        <v>143</v>
      </c>
      <c r="F34" s="21" t="s">
        <v>144</v>
      </c>
    </row>
    <row r="35" spans="1:6" ht="48" customHeight="1" x14ac:dyDescent="0.3">
      <c r="A35" s="23" t="s">
        <v>145</v>
      </c>
      <c r="B35" s="24" t="s">
        <v>113</v>
      </c>
      <c r="C35" s="24" t="s">
        <v>146</v>
      </c>
      <c r="D35" s="25" t="s">
        <v>18</v>
      </c>
      <c r="E35" s="24" t="s">
        <v>147</v>
      </c>
      <c r="F35" s="24" t="s">
        <v>148</v>
      </c>
    </row>
    <row r="36" spans="1:6" ht="48" customHeight="1" x14ac:dyDescent="0.3">
      <c r="A36" s="20" t="s">
        <v>149</v>
      </c>
      <c r="B36" s="21" t="s">
        <v>113</v>
      </c>
      <c r="C36" s="21" t="s">
        <v>150</v>
      </c>
      <c r="D36" s="25" t="s">
        <v>18</v>
      </c>
      <c r="E36" s="21" t="s">
        <v>151</v>
      </c>
      <c r="F36" s="21" t="s">
        <v>152</v>
      </c>
    </row>
    <row r="37" spans="1:6" ht="48" customHeight="1" x14ac:dyDescent="0.3">
      <c r="A37" s="23" t="s">
        <v>153</v>
      </c>
      <c r="B37" s="24" t="s">
        <v>154</v>
      </c>
      <c r="C37" s="24" t="s">
        <v>155</v>
      </c>
      <c r="D37" s="26" t="s">
        <v>31</v>
      </c>
      <c r="E37" s="24" t="s">
        <v>156</v>
      </c>
      <c r="F37" s="24" t="s">
        <v>157</v>
      </c>
    </row>
    <row r="38" spans="1:6" ht="48" customHeight="1" x14ac:dyDescent="0.3">
      <c r="A38" s="20" t="s">
        <v>158</v>
      </c>
      <c r="B38" s="21" t="s">
        <v>154</v>
      </c>
      <c r="C38" s="21" t="s">
        <v>159</v>
      </c>
      <c r="D38" s="22" t="s">
        <v>9</v>
      </c>
      <c r="E38" s="21" t="s">
        <v>160</v>
      </c>
      <c r="F38" s="21" t="s">
        <v>161</v>
      </c>
    </row>
    <row r="39" spans="1:6" ht="48" customHeight="1" x14ac:dyDescent="0.3">
      <c r="A39" s="23" t="s">
        <v>162</v>
      </c>
      <c r="B39" s="24" t="s">
        <v>154</v>
      </c>
      <c r="C39" s="24" t="s">
        <v>163</v>
      </c>
      <c r="D39" s="22" t="s">
        <v>9</v>
      </c>
      <c r="E39" s="24" t="s">
        <v>164</v>
      </c>
      <c r="F39" s="24" t="s">
        <v>165</v>
      </c>
    </row>
    <row r="40" spans="1:6" ht="48" customHeight="1" x14ac:dyDescent="0.3">
      <c r="A40" s="20" t="s">
        <v>166</v>
      </c>
      <c r="B40" s="21" t="s">
        <v>154</v>
      </c>
      <c r="C40" s="21" t="s">
        <v>167</v>
      </c>
      <c r="D40" s="26" t="s">
        <v>31</v>
      </c>
      <c r="E40" s="21" t="s">
        <v>168</v>
      </c>
      <c r="F40" s="21" t="s">
        <v>169</v>
      </c>
    </row>
    <row r="41" spans="1:6" ht="48" customHeight="1" x14ac:dyDescent="0.3">
      <c r="A41" s="23" t="s">
        <v>170</v>
      </c>
      <c r="B41" s="24" t="s">
        <v>154</v>
      </c>
      <c r="C41" s="24" t="s">
        <v>171</v>
      </c>
      <c r="D41" s="22" t="s">
        <v>9</v>
      </c>
      <c r="E41" s="24" t="s">
        <v>172</v>
      </c>
      <c r="F41" s="24" t="s">
        <v>173</v>
      </c>
    </row>
    <row r="42" spans="1:6" ht="48" customHeight="1" x14ac:dyDescent="0.3">
      <c r="A42" s="20" t="s">
        <v>174</v>
      </c>
      <c r="B42" s="21" t="s">
        <v>175</v>
      </c>
      <c r="C42" s="21" t="s">
        <v>176</v>
      </c>
      <c r="D42" s="25" t="s">
        <v>18</v>
      </c>
      <c r="E42" s="21" t="s">
        <v>177</v>
      </c>
      <c r="F42" s="21" t="s">
        <v>178</v>
      </c>
    </row>
    <row r="43" spans="1:6" ht="48" customHeight="1" x14ac:dyDescent="0.3">
      <c r="A43" s="23" t="s">
        <v>179</v>
      </c>
      <c r="B43" s="24" t="s">
        <v>175</v>
      </c>
      <c r="C43" s="24" t="s">
        <v>180</v>
      </c>
      <c r="D43" s="25" t="s">
        <v>18</v>
      </c>
      <c r="E43" s="24" t="s">
        <v>181</v>
      </c>
      <c r="F43" s="24" t="s">
        <v>182</v>
      </c>
    </row>
    <row r="44" spans="1:6" ht="48" customHeight="1" x14ac:dyDescent="0.3">
      <c r="A44" s="20" t="s">
        <v>183</v>
      </c>
      <c r="B44" s="21" t="s">
        <v>175</v>
      </c>
      <c r="C44" s="21" t="s">
        <v>184</v>
      </c>
      <c r="D44" s="25" t="s">
        <v>18</v>
      </c>
      <c r="E44" s="21" t="s">
        <v>185</v>
      </c>
      <c r="F44" s="21" t="s">
        <v>186</v>
      </c>
    </row>
    <row r="45" spans="1:6" ht="48" customHeight="1" x14ac:dyDescent="0.3">
      <c r="A45" s="23" t="s">
        <v>187</v>
      </c>
      <c r="B45" s="24" t="s">
        <v>175</v>
      </c>
      <c r="C45" s="24" t="s">
        <v>188</v>
      </c>
      <c r="D45" s="25" t="s">
        <v>18</v>
      </c>
      <c r="E45" s="24" t="s">
        <v>189</v>
      </c>
      <c r="F45" s="24" t="s">
        <v>190</v>
      </c>
    </row>
    <row r="46" spans="1:6" ht="48" customHeight="1" x14ac:dyDescent="0.3">
      <c r="A46" s="20" t="s">
        <v>191</v>
      </c>
      <c r="B46" s="21" t="s">
        <v>175</v>
      </c>
      <c r="C46" s="21" t="s">
        <v>192</v>
      </c>
      <c r="D46" s="25" t="s">
        <v>18</v>
      </c>
      <c r="E46" s="21" t="s">
        <v>193</v>
      </c>
      <c r="F46" s="21" t="s">
        <v>194</v>
      </c>
    </row>
    <row r="47" spans="1:6" ht="48" customHeight="1" x14ac:dyDescent="0.3">
      <c r="A47" s="23" t="s">
        <v>195</v>
      </c>
      <c r="B47" s="24" t="s">
        <v>7</v>
      </c>
      <c r="C47" s="24" t="s">
        <v>196</v>
      </c>
      <c r="D47" s="26" t="s">
        <v>31</v>
      </c>
      <c r="E47" s="24" t="s">
        <v>197</v>
      </c>
      <c r="F47" s="24" t="s">
        <v>198</v>
      </c>
    </row>
    <row r="48" spans="1:6" ht="48" customHeight="1" x14ac:dyDescent="0.3">
      <c r="A48" s="20" t="s">
        <v>199</v>
      </c>
      <c r="B48" s="21" t="s">
        <v>7</v>
      </c>
      <c r="C48" s="21" t="s">
        <v>200</v>
      </c>
      <c r="D48" s="26" t="s">
        <v>31</v>
      </c>
      <c r="E48" s="21" t="s">
        <v>201</v>
      </c>
      <c r="F48" s="21" t="s">
        <v>202</v>
      </c>
    </row>
    <row r="49" spans="1:6" ht="48" customHeight="1" x14ac:dyDescent="0.3">
      <c r="A49" s="23" t="s">
        <v>203</v>
      </c>
      <c r="B49" s="24" t="s">
        <v>175</v>
      </c>
      <c r="C49" s="24" t="s">
        <v>204</v>
      </c>
      <c r="D49" s="22" t="s">
        <v>9</v>
      </c>
      <c r="E49" s="24" t="s">
        <v>205</v>
      </c>
      <c r="F49" s="24" t="s">
        <v>206</v>
      </c>
    </row>
    <row r="50" spans="1:6" ht="48" customHeight="1" x14ac:dyDescent="0.3">
      <c r="A50" s="20" t="s">
        <v>207</v>
      </c>
      <c r="B50" s="21" t="s">
        <v>175</v>
      </c>
      <c r="C50" s="21" t="s">
        <v>208</v>
      </c>
      <c r="D50" s="25" t="s">
        <v>18</v>
      </c>
      <c r="E50" s="21" t="s">
        <v>209</v>
      </c>
      <c r="F50" s="21" t="s">
        <v>210</v>
      </c>
    </row>
    <row r="51" spans="1:6" ht="48" customHeight="1" x14ac:dyDescent="0.3">
      <c r="A51" s="23" t="s">
        <v>211</v>
      </c>
      <c r="B51" s="24" t="s">
        <v>7</v>
      </c>
      <c r="C51" s="24" t="s">
        <v>212</v>
      </c>
      <c r="D51" s="22" t="s">
        <v>9</v>
      </c>
      <c r="E51" s="24" t="s">
        <v>213</v>
      </c>
      <c r="F51" s="24" t="s">
        <v>214</v>
      </c>
    </row>
  </sheetData>
  <autoFilter ref="A1:F51" xr:uid="{EB4DA71F-5AD4-4911-BFF4-EC2E6482BFA5}"/>
  <pageMargins left="0.7" right="0.7" top="0.75" bottom="0.75" header="0.3" footer="0.3"/>
  <pageSetup paperSize="9" fitToHeight="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847D-9FAB-44B4-BDD6-9FEBD2CA125E}">
  <dimension ref="A1:D13"/>
  <sheetViews>
    <sheetView workbookViewId="0">
      <pane ySplit="1" topLeftCell="A2" activePane="bottomLeft" state="frozenSplit"/>
      <selection pane="bottomLeft"/>
    </sheetView>
  </sheetViews>
  <sheetFormatPr baseColWidth="10" defaultRowHeight="14.4" x14ac:dyDescent="0.3"/>
  <cols>
    <col min="1" max="1" width="48.77734375" customWidth="1"/>
    <col min="2" max="2" width="14.77734375" customWidth="1"/>
    <col min="3" max="3" width="70.77734375" customWidth="1"/>
    <col min="4" max="4" width="62.77734375" customWidth="1"/>
  </cols>
  <sheetData>
    <row r="1" spans="1:4" ht="31.95" customHeight="1" x14ac:dyDescent="0.3">
      <c r="A1" s="6" t="s">
        <v>215</v>
      </c>
      <c r="B1" s="6" t="s">
        <v>3</v>
      </c>
      <c r="C1" s="6" t="s">
        <v>4</v>
      </c>
      <c r="D1" s="6" t="s">
        <v>216</v>
      </c>
    </row>
    <row r="2" spans="1:4" ht="42" customHeight="1" x14ac:dyDescent="0.3">
      <c r="A2" s="21" t="s">
        <v>217</v>
      </c>
      <c r="B2" s="26" t="s">
        <v>31</v>
      </c>
      <c r="C2" s="21" t="s">
        <v>218</v>
      </c>
      <c r="D2" s="21" t="s">
        <v>219</v>
      </c>
    </row>
    <row r="3" spans="1:4" ht="42" customHeight="1" x14ac:dyDescent="0.3">
      <c r="A3" s="24" t="s">
        <v>220</v>
      </c>
      <c r="B3" s="26" t="s">
        <v>31</v>
      </c>
      <c r="C3" s="24" t="s">
        <v>221</v>
      </c>
      <c r="D3" s="24" t="s">
        <v>222</v>
      </c>
    </row>
    <row r="4" spans="1:4" ht="42" customHeight="1" x14ac:dyDescent="0.3">
      <c r="A4" s="21" t="s">
        <v>223</v>
      </c>
      <c r="B4" s="26" t="s">
        <v>31</v>
      </c>
      <c r="C4" s="21" t="s">
        <v>224</v>
      </c>
      <c r="D4" s="21" t="s">
        <v>225</v>
      </c>
    </row>
    <row r="5" spans="1:4" ht="42" customHeight="1" x14ac:dyDescent="0.3">
      <c r="A5" s="24" t="s">
        <v>226</v>
      </c>
      <c r="B5" s="22" t="s">
        <v>9</v>
      </c>
      <c r="C5" s="24" t="s">
        <v>227</v>
      </c>
      <c r="D5" s="24" t="s">
        <v>228</v>
      </c>
    </row>
    <row r="6" spans="1:4" ht="42" customHeight="1" x14ac:dyDescent="0.3">
      <c r="A6" s="21" t="s">
        <v>229</v>
      </c>
      <c r="B6" s="22" t="s">
        <v>9</v>
      </c>
      <c r="C6" s="21" t="s">
        <v>230</v>
      </c>
      <c r="D6" s="21" t="s">
        <v>231</v>
      </c>
    </row>
    <row r="7" spans="1:4" ht="42" customHeight="1" x14ac:dyDescent="0.3">
      <c r="A7" s="24" t="s">
        <v>232</v>
      </c>
      <c r="B7" s="26" t="s">
        <v>31</v>
      </c>
      <c r="C7" s="24" t="s">
        <v>233</v>
      </c>
      <c r="D7" s="24" t="s">
        <v>234</v>
      </c>
    </row>
    <row r="8" spans="1:4" ht="42" customHeight="1" x14ac:dyDescent="0.3">
      <c r="A8" s="21" t="s">
        <v>235</v>
      </c>
      <c r="B8" s="22" t="s">
        <v>9</v>
      </c>
      <c r="C8" s="21" t="s">
        <v>236</v>
      </c>
      <c r="D8" s="21" t="s">
        <v>237</v>
      </c>
    </row>
    <row r="9" spans="1:4" ht="42" customHeight="1" x14ac:dyDescent="0.3">
      <c r="A9" s="24" t="s">
        <v>238</v>
      </c>
      <c r="B9" s="26" t="s">
        <v>31</v>
      </c>
      <c r="C9" s="24" t="s">
        <v>239</v>
      </c>
      <c r="D9" s="24" t="s">
        <v>240</v>
      </c>
    </row>
    <row r="10" spans="1:4" ht="42" customHeight="1" x14ac:dyDescent="0.3">
      <c r="A10" s="21" t="s">
        <v>241</v>
      </c>
      <c r="B10" s="26" t="s">
        <v>31</v>
      </c>
      <c r="C10" s="21" t="s">
        <v>242</v>
      </c>
      <c r="D10" s="21" t="s">
        <v>243</v>
      </c>
    </row>
    <row r="11" spans="1:4" ht="42" customHeight="1" x14ac:dyDescent="0.3">
      <c r="A11" s="24" t="s">
        <v>244</v>
      </c>
      <c r="B11" s="25" t="s">
        <v>18</v>
      </c>
      <c r="C11" s="24" t="s">
        <v>245</v>
      </c>
      <c r="D11" s="24" t="s">
        <v>246</v>
      </c>
    </row>
    <row r="12" spans="1:4" ht="42" customHeight="1" x14ac:dyDescent="0.3">
      <c r="A12" s="21" t="s">
        <v>247</v>
      </c>
      <c r="B12" s="25" t="s">
        <v>18</v>
      </c>
      <c r="C12" s="21" t="s">
        <v>248</v>
      </c>
      <c r="D12" s="21" t="s">
        <v>249</v>
      </c>
    </row>
    <row r="13" spans="1:4" ht="42" customHeight="1" x14ac:dyDescent="0.3">
      <c r="A13" s="24" t="s">
        <v>250</v>
      </c>
      <c r="B13" s="22" t="s">
        <v>9</v>
      </c>
      <c r="C13" s="24" t="s">
        <v>251</v>
      </c>
      <c r="D13" s="24" t="s">
        <v>252</v>
      </c>
    </row>
  </sheetData>
  <autoFilter ref="A1:D13" xr:uid="{E216847D-9FAB-44B4-BDD6-9FEBD2CA125E}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Synthese</vt:lpstr>
      <vt:lpstr>Fonctionnalites</vt:lpstr>
      <vt:lpstr>En plus</vt:lpstr>
      <vt:lpstr>Fonctionnalites!Impression_des_titres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Gaëtan SALBER</dc:creator>
  <cp:lastModifiedBy>Gaëtan SALBER</cp:lastModifiedBy>
  <dcterms:created xsi:type="dcterms:W3CDTF">2026-10-26T09:03:09Z</dcterms:created>
  <dcterms:modified xsi:type="dcterms:W3CDTF">2026-10-26T09:03:27Z</dcterms:modified>
</cp:coreProperties>
</file>