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pimindustrie67-my.sharepoint.com/personal/gaetan_salber_pim-industrie_fr/Documents/Documents/autre/"/>
    </mc:Choice>
  </mc:AlternateContent>
  <xr:revisionPtr revIDLastSave="0" documentId="8_{52839192-9FB9-48DD-9E27-538D96F9E8C8}" xr6:coauthVersionLast="47" xr6:coauthVersionMax="47" xr10:uidLastSave="{00000000-0000-0000-0000-000000000000}"/>
  <bookViews>
    <workbookView xWindow="-108" yWindow="-108" windowWidth="23256" windowHeight="12456" xr2:uid="{E8BC1D7A-1D4B-4BEE-B157-AAF10D4ED602}"/>
  </bookViews>
  <sheets>
    <sheet name="Fonctionnalites" sheetId="3" r:id="rId1"/>
    <sheet name="En plus" sheetId="2" r:id="rId2"/>
    <sheet name="Synthese" sheetId="1" r:id="rId3"/>
  </sheets>
  <definedNames>
    <definedName name="_xlnm._FilterDatabase" localSheetId="1" hidden="1">'En plus'!$A$1:$D$11</definedName>
    <definedName name="_xlnm._FilterDatabase" localSheetId="0" hidden="1">Fonctionnalites!$A$1:$F$51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8" i="1" l="1"/>
  <c r="C7" i="1"/>
  <c r="B7" i="1"/>
  <c r="C6" i="1"/>
  <c r="B6" i="1"/>
  <c r="C5" i="1"/>
  <c r="B5" i="1"/>
</calcChain>
</file>

<file path=xl/sharedStrings.xml><?xml version="1.0" encoding="utf-8"?>
<sst xmlns="http://schemas.openxmlformats.org/spreadsheetml/2006/main" count="335" uniqueCount="227">
  <si>
    <t>Réf</t>
  </si>
  <si>
    <t>Bloc</t>
  </si>
  <si>
    <t>Fonctionnalité voulue</t>
  </si>
  <si>
    <t>Statut</t>
  </si>
  <si>
    <t>Ce qui est en place</t>
  </si>
  <si>
    <t>Ce qui manque</t>
  </si>
  <si>
    <t>FR1</t>
  </si>
  <si>
    <t>1. Import local</t>
  </si>
  <si>
    <t>Choisir un ou plusieurs fichiers d'historiques de mains et les importer</t>
  </si>
  <si>
    <t>Partiel</t>
  </si>
  <si>
    <t>L'application cherche seule les dossiers habituels (Winamax, PokerStars, Unibet, PMU, Betclic, PartyPoker, GGPoker). On peut aussi choisir un dossier.</t>
  </si>
  <si>
    <t>Pas de sélection de plusieurs fichiers un par un. Seuls les tournois Winamax en anglais sont lus. Le cash et les autres rooms ne sont pas encore analysés.</t>
  </si>
  <si>
    <t>FR2</t>
  </si>
  <si>
    <t>Lancer un import depuis un dossier déjà configuré</t>
  </si>
  <si>
    <t>La recherche automatique reprend les dossiers habituels à chaque fois, sans réglage.</t>
  </si>
  <si>
    <t>Le dossier choisi à la main n'est pas mémorisé pour les fois suivantes.</t>
  </si>
  <si>
    <t>FR3</t>
  </si>
  <si>
    <t>Détecter les mains déjà importées et ignorer les doublons</t>
  </si>
  <si>
    <t>En place</t>
  </si>
  <si>
    <t>Une main déjà connue (même identifiant) n'est pas recopiée. Réimporter un tournoi remplace l'ancienne version au lieu d'en créer une deuxième.</t>
  </si>
  <si>
    <t>FR4</t>
  </si>
  <si>
    <t>Signaler les fichiers ou mains illisibles avec une explication utile</t>
  </si>
  <si>
    <t>L'écran d'import affiche l'erreur et une liste de ce qui n'a pas pu être lu (résumés absents, aucune main de tournoi).</t>
  </si>
  <si>
    <t>Pas de liste main par main avec la cause et une action pour corriger le fichier.</t>
  </si>
  <si>
    <t>FR5</t>
  </si>
  <si>
    <t>Afficher un résumé d'import : mains valides, rejetées et en erreur</t>
  </si>
  <si>
    <t>Après l'import : nombre de tournois, de mains, pseudo, et un message de fin.</t>
  </si>
  <si>
    <t>Le résumé ne sépare pas encore clairement valides, rejetées et en erreur.</t>
  </si>
  <si>
    <t>FR6</t>
  </si>
  <si>
    <t>Consulter la liste des tournois importés</t>
  </si>
  <si>
    <t>La page Mes mains liste les tournois enregistrés sur le PC (nom, date, buy-in, nombre de mains, analysé ou non). Sans import, un tournoi d'exemple est proposé.</t>
  </si>
  <si>
    <t>FR7</t>
  </si>
  <si>
    <t>2. Review et EV</t>
  </si>
  <si>
    <t>Ouvrir la review détaillée d'un tournoi</t>
  </si>
  <si>
    <t>Choisir un tournoi ouvre la table. Si le tournoi n'est pas encore analysé, une barre de progression calcule chaque décision, puis la revue est immédiate. Le résultat est gardé sur le PC.</t>
  </si>
  <si>
    <t>FR8</t>
  </si>
  <si>
    <t>Naviguer main par main, action par action</t>
  </si>
  <si>
    <t>Précédent, suivant, raccourcis clavier, saut à sa décision et à la prochaine erreur. La table montre cartes, jetons, pot et board.</t>
  </si>
  <si>
    <t>FR9</t>
  </si>
  <si>
    <t>Filtrer les mains à fort impact : all-in, gros pots, spots marqués</t>
  </si>
  <si>
    <t>L'onglet Bilan isole les plus grosses erreurs et les meilleurs coups, classés par EV estimée.</t>
  </si>
  <si>
    <t>Pas de filtre all-in, gros pot, ni spot marqué par le joueur.</t>
  </si>
  <si>
    <t>FR10</t>
  </si>
  <si>
    <t>Marquer une main pour la revoir plus tard</t>
  </si>
  <si>
    <t>Non fait</t>
  </si>
  <si>
    <t>Aucun bouton pour épingler une main. Rien n'est enregistré pour la retrouver ensuite.</t>
  </si>
  <si>
    <t>FR11</t>
  </si>
  <si>
    <t>Lancer à la demande un calcul d'espérance de gain (EV) sur la main</t>
  </si>
  <si>
    <t>L'analyse du tournoi calcule l'équité (Monte Carlo), les cotes du pot et l'EV de chaque décision du héros. On peut la lancer ou l'annuler, et régler la puissance du PC.</t>
  </si>
  <si>
    <t>Ce n'est pas un solveur GTO. On ne recalcule pas une seule main avec un autre contexte.</t>
  </si>
  <si>
    <t>FR12</t>
  </si>
  <si>
    <t>Comparer l'EV des actions possibles</t>
  </si>
  <si>
    <t>Pour chaque décision du héros, l'écran liste les options (suivre, relancer, se coucher, miser) avec une EV estimée en bb, et marque le choix joué et le meilleur.</t>
  </si>
  <si>
    <t>Les chiffres sont une estimation du moteur, pas la stratégie parfaite.</t>
  </si>
  <si>
    <t>FR13</t>
  </si>
  <si>
    <t>Montrer l'impact EV de l'action réellement jouée</t>
  </si>
  <si>
    <t>Le conseil affiche les bb perdus ou gagnés par rapport à la meilleure option. Le bilan du tournoi additionne ces écarts.</t>
  </si>
  <si>
    <t>FR14</t>
  </si>
  <si>
    <t>Relancer l'analyse EV après un changement de contexte</t>
  </si>
  <si>
    <t>Pas de réglage (profil adverse, taille de mise, lecture) pour recalculer la même main autrement.</t>
  </si>
  <si>
    <t>FR15</t>
  </si>
  <si>
    <t>Dire clairement quand l'EV ne peut pas être calculée</t>
  </si>
  <si>
    <t>Avant le tour du héros, l'écran le dit. Chaque spot indique une confiance (faible, moyenne, haute) et précise que ce n'est pas un solveur.</t>
  </si>
  <si>
    <t>FR16</t>
  </si>
  <si>
    <t>3. Ranges et adversaires</t>
  </si>
  <si>
    <t>Afficher les ranges recommandées selon la situation</t>
  </si>
  <si>
    <t>Matrices 13×13 pour des spots préflop connus, plus une range adverse rétrécie par le moteur après le flop.</t>
  </si>
  <si>
    <t>Ce ne sont pas des ranges calculées pour la limite ni pour ce joueur précis. Pas un solveur.</t>
  </si>
  <si>
    <t>FR17</t>
  </si>
  <si>
    <t>Comparer la décision jouée à la range attendue</t>
  </si>
  <si>
    <t>La main du héros est surlignée. Le conseil dit si elle est dans une range d'ouverture habituelle.</t>
  </si>
  <si>
    <t>Pas d'étiquette systématique « dans la range » ou « hors range » reliée à l'action jouée.</t>
  </si>
  <si>
    <t>FR18</t>
  </si>
  <si>
    <t>Relier une erreur de range à une fuite identifiable</t>
  </si>
  <si>
    <t>Les erreurs répétées sont regroupées (par exemple trop de folds, trop de calls) par rue et par zone de la table, avec un coût estimé. Un clic ouvre une main d'exemple.</t>
  </si>
  <si>
    <t>FR19</t>
  </si>
  <si>
    <t>Donner une explication pédagogique de l'écart</t>
  </si>
  <si>
    <t>Chaque décision du héros a un conseil en français, écrit à l'avance par le moteur. Un modèle de langage local, optionnel, peut reformuler les plus gros écarts.</t>
  </si>
  <si>
    <t>Le modèle ne calcule rien. Il ne se télécharge que si on le demande, et il n'est pas dans l'installeur.</t>
  </si>
  <si>
    <t>FR20</t>
  </si>
  <si>
    <t>Regrouper les erreurs de range par type de spot</t>
  </si>
  <si>
    <t>L'accueil classe les fuites par type, rue et position (début de table, fin de table, blindes), du plus coûteux au moins coûteux.</t>
  </si>
  <si>
    <t>FR46</t>
  </si>
  <si>
    <t>Afficher les stats adverses : VPIP, PFR, 3-bet, fold to 3-bet, facteur d'agression</t>
  </si>
  <si>
    <t>Les adversaires n'ont pas de statistiques calculées. Le tableau par position de l'accueil, quand il apparaît, est un exemple signalé comme tel.</t>
  </si>
  <si>
    <t>FR47</t>
  </si>
  <si>
    <t>Montrer ces stats adverses dans la main en cours</t>
  </si>
  <si>
    <t>La table montre le pseudo, la position et le tapis. Pas le profil de l'adversaire.</t>
  </si>
  <si>
    <t>FR48</t>
  </si>
  <si>
    <t>Comparer sa décision à la dynamique des profils adverses</t>
  </si>
  <si>
    <t>La review ne change pas son conseil selon que l'adversaire est loose ou serré.</t>
  </si>
  <si>
    <t>FR49</t>
  </si>
  <si>
    <t>Filtrer ou chercher des spots selon le profil adverse</t>
  </si>
  <si>
    <t>On peut filtrer les gros écarts d'EV, pas les mains contre un type de joueur.</t>
  </si>
  <si>
    <t>FR50</t>
  </si>
  <si>
    <t>Prévenir quand l'échantillon de stats adverses est trop faible</t>
  </si>
  <si>
    <t>Les stats adverses ne sont pas calculées, donc il n'y a pas d'alerte de fiabilité.</t>
  </si>
  <si>
    <t>FR21</t>
  </si>
  <si>
    <t>4. Fuites et entraînement</t>
  </si>
  <si>
    <t>Détecter automatiquement les fuites récurrentes à partir des mains</t>
  </si>
  <si>
    <t>Après l'analyse des tournois, l'accueil liste les erreurs qui reviennent, déduites des décisions, pas écrites à la main. Sans analyse, l'écran le dit.</t>
  </si>
  <si>
    <t>FR22</t>
  </si>
  <si>
    <t>Classer les fuites par gravité</t>
  </si>
  <si>
    <t>Chaque fuite a un niveau : critique, important ou mineur, selon le coût estimé.</t>
  </si>
  <si>
    <t>FR23</t>
  </si>
  <si>
    <t>Classer les fuites par fréquence</t>
  </si>
  <si>
    <t>Le nombre de fois où la fuite apparaît est compté sur les mains analysées.</t>
  </si>
  <si>
    <t>FR24</t>
  </si>
  <si>
    <t>Classer les fuites par impact EV</t>
  </si>
  <si>
    <t>Chaque fuite affiche un coût en bb pour 100 mains, calculé à partir des écarts du moteur.</t>
  </si>
  <si>
    <t>C'est une estimation, pas un résultat de solveur.</t>
  </si>
  <si>
    <t>FR25</t>
  </si>
  <si>
    <t>Consulter une liste de fuites priorisée</t>
  </si>
  <si>
    <t>L'accueil montre les fuites les plus coûteuses en premier. Un clic ouvre une main d'exemple.</t>
  </si>
  <si>
    <t>FR26</t>
  </si>
  <si>
    <t>Recevoir des recommandations concrètes pour chaque fuite</t>
  </si>
  <si>
    <t>Le titre de la fuite dit quoi corriger, et la main d'exemple montre le coup. Les fuites de démonstration ont en plus un texte « quoi changer ».</t>
  </si>
  <si>
    <t>Pas de plan d'exercices qui change selon l'historique réel.</t>
  </si>
  <si>
    <t>FR27</t>
  </si>
  <si>
    <t>Voir, pour chaque fuite, ce qu'il faut revoir en priorité</t>
  </si>
  <si>
    <t>La carte « prochaine étape » pointe le tournoi à analyser ou la fuite n°1. Cliquer une fuite ouvre la main à revoir.</t>
  </si>
  <si>
    <t>FR28</t>
  </si>
  <si>
    <t>Distinguer une erreur de structure d'une erreur ponctuelle</t>
  </si>
  <si>
    <t>Toutes les fuites sont présentées de la même façon. Rien ne sépare l'habitude du coup isolé.</t>
  </si>
  <si>
    <t>FR29</t>
  </si>
  <si>
    <t>Associer des actions de travail à une fuite</t>
  </si>
  <si>
    <t>On ne peut pas ajouter un exercice ou une tâche. Pas de plan d'entraînement éditable.</t>
  </si>
  <si>
    <t>FR30</t>
  </si>
  <si>
    <t>Suivre l'évolution d'une fuite dans le temps</t>
  </si>
  <si>
    <t>Pas de courbe par fuite. On ne voit pas si elle diminue d'une session à l'autre.</t>
  </si>
  <si>
    <t>FR31</t>
  </si>
  <si>
    <t>5. Statistiques</t>
  </si>
  <si>
    <t>Consulter les statistiques globales de review</t>
  </si>
  <si>
    <t>L'accueil calcule le résultat net, la rentabilité, la part de tournois payés, la mise moyenne, le nombre de tournois et de mains, sur une période.</t>
  </si>
  <si>
    <t>Ce sont des résultats en euros. La qualité des décisions est dans les fuites (bb), pas dans ces cartes.</t>
  </si>
  <si>
    <t>FR32</t>
  </si>
  <si>
    <t>Consulter les statistiques par position</t>
  </si>
  <si>
    <t>Un tableau VPIP, relances et 3-bet par position existe, avec le badge « Exemple ».</t>
  </si>
  <si>
    <t>Il n'est pas calculé sur les mains importées. Le fichier le présente comme un exemple.</t>
  </si>
  <si>
    <t>FR33</t>
  </si>
  <si>
    <t>Voir les principales zones de perte d'EV</t>
  </si>
  <si>
    <t>Les fuites regroupent les pertes par type de coup, rue et position, avec un coût estimé. Le bilan d'un tournoi résume les bb perdus.</t>
  </si>
  <si>
    <t>FR34</t>
  </si>
  <si>
    <t>Visualiser la tendance de progression sur les sessions</t>
  </si>
  <si>
    <t>Courbe du résultat cumulé en euros, survolable, filtrable par période (1 mois, 3 mois, 6 mois, 1 an, tout).</t>
  </si>
  <si>
    <t>La courbe suit l'argent, pas la qualité des décisions.</t>
  </si>
  <si>
    <t>FR35</t>
  </si>
  <si>
    <t>Identifier les spots où l'on perd le plus d'EV</t>
  </si>
  <si>
    <t>Dans la revue, l'onglet Bilan liste les mains au plus gros écart. L'accueil fait de même au niveau des fuites.</t>
  </si>
  <si>
    <t>Le classement utilise l'estimation du moteur.</t>
  </si>
  <si>
    <t>FR36</t>
  </si>
  <si>
    <t>6. Diagnostic et mises à jour</t>
  </si>
  <si>
    <t>Lancer un diagnostic autonome</t>
  </si>
  <si>
    <t>Pas d'écran ni de bouton Diagnostic.</t>
  </si>
  <si>
    <t>FR37</t>
  </si>
  <si>
    <t>Vérifier la cohérence des données importées</t>
  </si>
  <si>
    <t>Pas de contrôle lancé par l'utilisateur sur la forme des fichiers.</t>
  </si>
  <si>
    <t>FR38</t>
  </si>
  <si>
    <t>Signaler les incohérences dans les résultats d'analyse</t>
  </si>
  <si>
    <t>Rien n'alerte si une analyse paraît incohérente.</t>
  </si>
  <si>
    <t>FR39</t>
  </si>
  <si>
    <t>Proposer une action corrective en cas de problème</t>
  </si>
  <si>
    <t>Les erreurs d'import affichent un message, sans historique ni parcours guidé.</t>
  </si>
  <si>
    <t>FR40</t>
  </si>
  <si>
    <t>Consulter l'historique des incidents</t>
  </si>
  <si>
    <t>Aucun journal. Les problèmes passés ne sont pas conservés.</t>
  </si>
  <si>
    <t>FR41</t>
  </si>
  <si>
    <t>Utiliser les fonctions cœur sans connexion internet</t>
  </si>
  <si>
    <t>Import local, analyse, revue, fuites et bilan marchent sans internet. Rien n'est envoyé en ligne.</t>
  </si>
  <si>
    <t>Internet sert seulement à télécharger le modèle de langage, ou un export Winamax reçu par email.</t>
  </si>
  <si>
    <t>FR42</t>
  </si>
  <si>
    <t>Retrouver ses données de review en local</t>
  </si>
  <si>
    <t>Tournois, mains et analyses sont des fichiers JSON dans le dossier utilisateur Windows. Ils restent après la fermeture.</t>
  </si>
  <si>
    <t>Le cahier prévoyait SQLite. Le code utilise des fichiers JSON.</t>
  </si>
  <si>
    <t>FR43</t>
  </si>
  <si>
    <t>Installer une nouvelle version à la main</t>
  </si>
  <si>
    <t>L'installeur Projet-pok Setup 0.1.0.exe installe l'application, crée le raccourci bureau et l'icône. Node.js n'est pas nécessaire.</t>
  </si>
  <si>
    <t>Pas de mise à jour automatique dans l'application. L'installeur n'est pas signé : Windows peut afficher un avertissement. Il n'est pas sur GitHub.</t>
  </si>
  <si>
    <t>FR44</t>
  </si>
  <si>
    <t>Garder les données utilisateur lors d'une mise à jour</t>
  </si>
  <si>
    <t>Les données sont hors du dossier du programme (AppData). Réinstaller par-dessus ne les efface pas.</t>
  </si>
  <si>
    <t>Pas de bouton de sauvegarde ni de restauration avant une mise à jour.</t>
  </si>
  <si>
    <t>FR45</t>
  </si>
  <si>
    <t>Configurer les chemins de dossiers utilisés par l'application</t>
  </si>
  <si>
    <t>Recherche automatique des dossiers habituels, choix d'un dossier, et options avancées pour l'export email Winamax.</t>
  </si>
  <si>
    <t>Pas de page pour enregistrer définitivement ces chemins.</t>
  </si>
  <si>
    <t>Fonction</t>
  </si>
  <si>
    <t>Application de bureau Windows</t>
  </si>
  <si>
    <t>Fenêtre Electron. Menus : Accueil, Mes mains, Importer, Réglages.</t>
  </si>
  <si>
    <t>Le cahier demandait Tauri. C'est Electron qui a été développé.</t>
  </si>
  <si>
    <t>Replay visuel de la table</t>
  </si>
  <si>
    <t>Cartes, sièges, jetons, pot, board et fil des actions, en français.</t>
  </si>
  <si>
    <t>Recherche automatique des historiques</t>
  </si>
  <si>
    <t>Un clic cherche dans Documents, AppData, Bureau et Téléchargements. Le disque entier n'est pas parcouru.</t>
  </si>
  <si>
    <t>La lecture détaillée ne couvre encore que les tournois Winamax en anglais.</t>
  </si>
  <si>
    <t>Connexion d'un pseudo Winamax</t>
  </si>
  <si>
    <t>Dans les options avancées : pseudo mémorisé en local, avec déconnexion.</t>
  </si>
  <si>
    <t>Import d'un export Winamax par lien</t>
  </si>
  <si>
    <t>Coller l'URL de l'email, le mot de passe, puis lecture des fichiers.</t>
  </si>
  <si>
    <t>Si le .dat ne se déchiffre pas, il faut finir dans le client Winamax.</t>
  </si>
  <si>
    <t>Moteur d'analyse local</t>
  </si>
  <si>
    <t>Équité, ranges déduites, EV, fuites, barre de progression, annulation, résultat conservé. Curseur de puissance (20 % à 100 % des cœurs utiles).</t>
  </si>
  <si>
    <t>Estimation, pas un solveur. Le curseur règle le nombre de cœurs, pas la charge exacte du processeur.</t>
  </si>
  <si>
    <t>Modèle de langage local</t>
  </si>
  <si>
    <t>Optionnel. Il reformule le texte des plus gros conseils. Choisi selon la mémoire du PC.</t>
  </si>
  <si>
    <t>Absent de l'installeur. Téléchargement seulement sur clic. Il ne calcule pas les chiffres.</t>
  </si>
  <si>
    <t>Installeur Windows</t>
  </si>
  <si>
    <t>Projet-pok Setup 0.1.0.exe, testé : installation, raccourci, ouverture, logo des cartes.</t>
  </si>
  <si>
    <t>Non signé. Pas versionné sur GitHub (dossier release).</t>
  </si>
  <si>
    <t>Base SQLite et migrations</t>
  </si>
  <si>
    <t>Prévue dans l'architecture. Remplacée par des fichiers JSON.</t>
  </si>
  <si>
    <t>Script scripts/import-history.mjs</t>
  </si>
  <si>
    <t>Remplacé par l'import intégré à l'application (dossier electron/ingest). Le vieux script et son plugin Vite ont été retirés.</t>
  </si>
  <si>
    <t>Projet-pok — fonctionnalités voulues et en place</t>
  </si>
  <si>
    <t>Comparaison des 50 fonctions du cahier (23 avril 2026) avec l'application du 26 octobre 2026, commit 03038e9. L'EV affichée est une estimation du moteur local, pas un solveur.</t>
  </si>
  <si>
    <t>Nombre</t>
  </si>
  <si>
    <t>Part des 50 fonctions</t>
  </si>
  <si>
    <t>Total voulu</t>
  </si>
  <si>
    <t>Lecture</t>
  </si>
  <si>
    <t>En place : l'écran ou le calcul existe et correspond à la demande.</t>
  </si>
  <si>
    <t>Partiel : une partie est visible, mais le parcours est incomplet ou les chiffres sont un exemple.</t>
  </si>
  <si>
    <t>Non fait : absent de l'application.</t>
  </si>
  <si>
    <t>L'espérance de gain est une estimation du moteur local (équité, cotes, ranges déduites). Ce n'est pas un solveur.</t>
  </si>
  <si>
    <t>Les fuites de l'accueil viennent des tournois analysés. Le tableau par position reste un exemple, indiqué comme tel.</t>
  </si>
  <si>
    <t>Les résultats en euros (profit, rentabilité, tournois payés, courbe) viennent des tournois importés sur le PC.</t>
  </si>
  <si>
    <t>L'installeur Windows existe et a été testé. Il n'est pas dans le dépôt GitHub.</t>
  </si>
  <si>
    <t>Le modèle de langage local n'est pas installé avec l'application. Il se télécharge seulement si on le demande.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</si>
</sst>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1"/>
      <color theme="1"/>
      <name val="Aptos Narrow"/>
      <family val="2"/>
      <scheme val="minor"/>
    </font>
    <font>
      <sz val="11"/>
      <color rgb="FF006100"/>
      <name val="Aptos Narrow"/>
      <family val="2"/>
      <scheme val="minor"/>
    </font>
    <font>
      <b/>
      <sz val="11"/>
      <color theme="1"/>
      <name val="Aptos Narrow"/>
      <family val="2"/>
      <scheme val="minor"/>
    </font>
    <font>
      <b/>
      <sz val="11"/>
      <color rgb="FFFFFFFF"/>
      <name val="Aptos Narrow"/>
      <family val="2"/>
      <scheme val="minor"/>
    </font>
    <font>
      <sz val="11"/>
      <color rgb="FF9C6600"/>
      <name val="Aptos Narrow"/>
      <family val="2"/>
      <scheme val="minor"/>
    </font>
    <font>
      <sz val="11"/>
      <color rgb="FF9C0600"/>
      <name val="Aptos Narrow"/>
      <family val="2"/>
      <scheme val="minor"/>
    </font>
    <font>
      <b/>
      <sz val="16"/>
      <color rgb="FFFFFFFF"/>
      <name val="Aptos Narrow"/>
      <family val="2"/>
      <scheme val="minor"/>
    </font>
  </fonts>
  <fills count="6">
    <fill>
      <patternFill patternType="none"/>
    </fill>
    <fill>
      <patternFill patternType="gray125"/>
    </fill>
    <fill>
      <patternFill patternType="solid">
        <fgColor rgb="FF0F2A44"/>
        <bgColor indexed="64"/>
      </patternFill>
    </fill>
    <fill>
      <patternFill patternType="solid">
        <fgColor rgb="FFFFEB9C"/>
        <bgColor indexed="64"/>
      </patternFill>
    </fill>
    <fill>
      <patternFill patternType="solid">
        <fgColor rgb="FFCEEFC6"/>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0" fontId="3" fillId="2" borderId="0" xfId="0" applyFont="1" applyFill="1" applyAlignment="1">
      <alignment vertical="center" wrapText="1"/>
    </xf>
    <xf numFmtId="0" fontId="4" fillId="3" borderId="0" xfId="0" applyFont="1" applyFill="1"/>
    <xf numFmtId="0" fontId="0" fillId="0" borderId="0" xfId="0" applyAlignment="1">
      <alignment vertical="top"/>
    </xf>
    <xf numFmtId="0" fontId="1" fillId="4" borderId="0" xfId="0" applyFont="1" applyFill="1"/>
    <xf numFmtId="0" fontId="5" fillId="5" borderId="0" xfId="0" applyFont="1" applyFill="1"/>
    <xf numFmtId="0" fontId="0" fillId="0" borderId="0" xfId="0" applyAlignment="1">
      <alignment vertical="top" wrapText="1"/>
    </xf>
    <xf numFmtId="0" fontId="4" fillId="3" borderId="0" xfId="0" applyFont="1" applyFill="1" applyAlignment="1">
      <alignment vertical="top" wrapText="1"/>
    </xf>
    <xf numFmtId="0" fontId="1" fillId="4" borderId="0" xfId="0" applyFont="1" applyFill="1" applyAlignment="1">
      <alignment vertical="top" wrapText="1"/>
    </xf>
    <xf numFmtId="0" fontId="5" fillId="5" borderId="0" xfId="0" applyFont="1" applyFill="1" applyAlignment="1">
      <alignment vertical="top" wrapText="1"/>
    </xf>
    <xf numFmtId="0" fontId="0" fillId="0" borderId="0" xfId="0"/>
    <xf numFmtId="0" fontId="0" fillId="0" borderId="0" xfId="0" applyAlignment="1">
      <alignment wrapText="1"/>
    </xf>
    <xf numFmtId="0" fontId="6" fillId="2" borderId="0" xfId="0" applyFont="1" applyFill="1" applyAlignment="1">
      <alignment vertical="center" wrapTex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F4214-B50A-43CE-BFB7-E340FEEA29A5}">
  <dimension ref="A1:F51"/>
  <sheetViews>
    <sheetView tabSelected="1" workbookViewId="0">
      <pane ySplit="1" topLeftCell="A2" activePane="bottomLeft" state="frozenSplit"/>
      <selection pane="bottomLeft"/>
    </sheetView>
  </sheetViews>
  <sheetFormatPr baseColWidth="10" defaultRowHeight="14.4" x14ac:dyDescent="0.3"/>
  <cols>
    <col min="1" max="1" width="8.77734375" customWidth="1"/>
    <col min="2" max="2" width="28.77734375" customWidth="1"/>
    <col min="3" max="3" width="52.77734375" customWidth="1"/>
    <col min="4" max="4" width="14.77734375" customWidth="1"/>
    <col min="5" max="5" width="62.77734375" customWidth="1"/>
    <col min="6" max="6" width="52.77734375" customWidth="1"/>
  </cols>
  <sheetData>
    <row r="1" spans="1:6" ht="30" customHeight="1" x14ac:dyDescent="0.3">
      <c r="A1" s="2" t="s">
        <v>0</v>
      </c>
      <c r="B1" s="2" t="s">
        <v>1</v>
      </c>
      <c r="C1" s="2" t="s">
        <v>2</v>
      </c>
      <c r="D1" s="2" t="s">
        <v>3</v>
      </c>
      <c r="E1" s="2" t="s">
        <v>4</v>
      </c>
      <c r="F1" s="2" t="s">
        <v>5</v>
      </c>
    </row>
    <row r="2" spans="1:6" s="4" customFormat="1" ht="48" customHeight="1" x14ac:dyDescent="0.3">
      <c r="A2" s="7" t="s">
        <v>6</v>
      </c>
      <c r="B2" s="7" t="s">
        <v>7</v>
      </c>
      <c r="C2" s="7" t="s">
        <v>8</v>
      </c>
      <c r="D2" s="8" t="s">
        <v>9</v>
      </c>
      <c r="E2" s="7" t="s">
        <v>10</v>
      </c>
      <c r="F2" s="7" t="s">
        <v>11</v>
      </c>
    </row>
    <row r="3" spans="1:6" s="4" customFormat="1" ht="48" customHeight="1" x14ac:dyDescent="0.3">
      <c r="A3" s="7" t="s">
        <v>12</v>
      </c>
      <c r="B3" s="7" t="s">
        <v>7</v>
      </c>
      <c r="C3" s="7" t="s">
        <v>13</v>
      </c>
      <c r="D3" s="8" t="s">
        <v>9</v>
      </c>
      <c r="E3" s="7" t="s">
        <v>14</v>
      </c>
      <c r="F3" s="7" t="s">
        <v>15</v>
      </c>
    </row>
    <row r="4" spans="1:6" s="4" customFormat="1" ht="48" customHeight="1" x14ac:dyDescent="0.3">
      <c r="A4" s="7" t="s">
        <v>16</v>
      </c>
      <c r="B4" s="7" t="s">
        <v>7</v>
      </c>
      <c r="C4" s="7" t="s">
        <v>17</v>
      </c>
      <c r="D4" s="9" t="s">
        <v>18</v>
      </c>
      <c r="E4" s="7" t="s">
        <v>19</v>
      </c>
      <c r="F4" s="7"/>
    </row>
    <row r="5" spans="1:6" s="4" customFormat="1" ht="48" customHeight="1" x14ac:dyDescent="0.3">
      <c r="A5" s="7" t="s">
        <v>20</v>
      </c>
      <c r="B5" s="7" t="s">
        <v>7</v>
      </c>
      <c r="C5" s="7" t="s">
        <v>21</v>
      </c>
      <c r="D5" s="8" t="s">
        <v>9</v>
      </c>
      <c r="E5" s="7" t="s">
        <v>22</v>
      </c>
      <c r="F5" s="7" t="s">
        <v>23</v>
      </c>
    </row>
    <row r="6" spans="1:6" s="4" customFormat="1" ht="48" customHeight="1" x14ac:dyDescent="0.3">
      <c r="A6" s="7" t="s">
        <v>24</v>
      </c>
      <c r="B6" s="7" t="s">
        <v>7</v>
      </c>
      <c r="C6" s="7" t="s">
        <v>25</v>
      </c>
      <c r="D6" s="8" t="s">
        <v>9</v>
      </c>
      <c r="E6" s="7" t="s">
        <v>26</v>
      </c>
      <c r="F6" s="7" t="s">
        <v>27</v>
      </c>
    </row>
    <row r="7" spans="1:6" s="4" customFormat="1" ht="48" customHeight="1" x14ac:dyDescent="0.3">
      <c r="A7" s="7" t="s">
        <v>28</v>
      </c>
      <c r="B7" s="7" t="s">
        <v>7</v>
      </c>
      <c r="C7" s="7" t="s">
        <v>29</v>
      </c>
      <c r="D7" s="9" t="s">
        <v>18</v>
      </c>
      <c r="E7" s="7" t="s">
        <v>30</v>
      </c>
      <c r="F7" s="7"/>
    </row>
    <row r="8" spans="1:6" s="4" customFormat="1" ht="48" customHeight="1" x14ac:dyDescent="0.3">
      <c r="A8" s="7" t="s">
        <v>31</v>
      </c>
      <c r="B8" s="7" t="s">
        <v>32</v>
      </c>
      <c r="C8" s="7" t="s">
        <v>33</v>
      </c>
      <c r="D8" s="9" t="s">
        <v>18</v>
      </c>
      <c r="E8" s="7" t="s">
        <v>34</v>
      </c>
      <c r="F8" s="7"/>
    </row>
    <row r="9" spans="1:6" s="4" customFormat="1" ht="48" customHeight="1" x14ac:dyDescent="0.3">
      <c r="A9" s="7" t="s">
        <v>35</v>
      </c>
      <c r="B9" s="7" t="s">
        <v>32</v>
      </c>
      <c r="C9" s="7" t="s">
        <v>36</v>
      </c>
      <c r="D9" s="9" t="s">
        <v>18</v>
      </c>
      <c r="E9" s="7" t="s">
        <v>37</v>
      </c>
      <c r="F9" s="7"/>
    </row>
    <row r="10" spans="1:6" s="4" customFormat="1" ht="48" customHeight="1" x14ac:dyDescent="0.3">
      <c r="A10" s="7" t="s">
        <v>38</v>
      </c>
      <c r="B10" s="7" t="s">
        <v>32</v>
      </c>
      <c r="C10" s="7" t="s">
        <v>39</v>
      </c>
      <c r="D10" s="8" t="s">
        <v>9</v>
      </c>
      <c r="E10" s="7" t="s">
        <v>40</v>
      </c>
      <c r="F10" s="7" t="s">
        <v>41</v>
      </c>
    </row>
    <row r="11" spans="1:6" s="4" customFormat="1" ht="48" customHeight="1" x14ac:dyDescent="0.3">
      <c r="A11" s="7" t="s">
        <v>42</v>
      </c>
      <c r="B11" s="7" t="s">
        <v>32</v>
      </c>
      <c r="C11" s="7" t="s">
        <v>43</v>
      </c>
      <c r="D11" s="10" t="s">
        <v>44</v>
      </c>
      <c r="E11" s="7"/>
      <c r="F11" s="7" t="s">
        <v>45</v>
      </c>
    </row>
    <row r="12" spans="1:6" s="4" customFormat="1" ht="48" customHeight="1" x14ac:dyDescent="0.3">
      <c r="A12" s="7" t="s">
        <v>46</v>
      </c>
      <c r="B12" s="7" t="s">
        <v>32</v>
      </c>
      <c r="C12" s="7" t="s">
        <v>47</v>
      </c>
      <c r="D12" s="9" t="s">
        <v>18</v>
      </c>
      <c r="E12" s="7" t="s">
        <v>48</v>
      </c>
      <c r="F12" s="7" t="s">
        <v>49</v>
      </c>
    </row>
    <row r="13" spans="1:6" s="4" customFormat="1" ht="48" customHeight="1" x14ac:dyDescent="0.3">
      <c r="A13" s="7" t="s">
        <v>50</v>
      </c>
      <c r="B13" s="7" t="s">
        <v>32</v>
      </c>
      <c r="C13" s="7" t="s">
        <v>51</v>
      </c>
      <c r="D13" s="9" t="s">
        <v>18</v>
      </c>
      <c r="E13" s="7" t="s">
        <v>52</v>
      </c>
      <c r="F13" s="7" t="s">
        <v>53</v>
      </c>
    </row>
    <row r="14" spans="1:6" s="4" customFormat="1" ht="48" customHeight="1" x14ac:dyDescent="0.3">
      <c r="A14" s="7" t="s">
        <v>54</v>
      </c>
      <c r="B14" s="7" t="s">
        <v>32</v>
      </c>
      <c r="C14" s="7" t="s">
        <v>55</v>
      </c>
      <c r="D14" s="9" t="s">
        <v>18</v>
      </c>
      <c r="E14" s="7" t="s">
        <v>56</v>
      </c>
      <c r="F14" s="7"/>
    </row>
    <row r="15" spans="1:6" s="4" customFormat="1" ht="48" customHeight="1" x14ac:dyDescent="0.3">
      <c r="A15" s="7" t="s">
        <v>57</v>
      </c>
      <c r="B15" s="7" t="s">
        <v>32</v>
      </c>
      <c r="C15" s="7" t="s">
        <v>58</v>
      </c>
      <c r="D15" s="10" t="s">
        <v>44</v>
      </c>
      <c r="E15" s="7"/>
      <c r="F15" s="7" t="s">
        <v>59</v>
      </c>
    </row>
    <row r="16" spans="1:6" s="4" customFormat="1" ht="48" customHeight="1" x14ac:dyDescent="0.3">
      <c r="A16" s="7" t="s">
        <v>60</v>
      </c>
      <c r="B16" s="7" t="s">
        <v>32</v>
      </c>
      <c r="C16" s="7" t="s">
        <v>61</v>
      </c>
      <c r="D16" s="9" t="s">
        <v>18</v>
      </c>
      <c r="E16" s="7" t="s">
        <v>62</v>
      </c>
      <c r="F16" s="7"/>
    </row>
    <row r="17" spans="1:6" s="4" customFormat="1" ht="48" customHeight="1" x14ac:dyDescent="0.3">
      <c r="A17" s="7" t="s">
        <v>63</v>
      </c>
      <c r="B17" s="7" t="s">
        <v>64</v>
      </c>
      <c r="C17" s="7" t="s">
        <v>65</v>
      </c>
      <c r="D17" s="8" t="s">
        <v>9</v>
      </c>
      <c r="E17" s="7" t="s">
        <v>66</v>
      </c>
      <c r="F17" s="7" t="s">
        <v>67</v>
      </c>
    </row>
    <row r="18" spans="1:6" s="4" customFormat="1" ht="48" customHeight="1" x14ac:dyDescent="0.3">
      <c r="A18" s="7" t="s">
        <v>68</v>
      </c>
      <c r="B18" s="7" t="s">
        <v>64</v>
      </c>
      <c r="C18" s="7" t="s">
        <v>69</v>
      </c>
      <c r="D18" s="8" t="s">
        <v>9</v>
      </c>
      <c r="E18" s="7" t="s">
        <v>70</v>
      </c>
      <c r="F18" s="7" t="s">
        <v>71</v>
      </c>
    </row>
    <row r="19" spans="1:6" s="4" customFormat="1" ht="48" customHeight="1" x14ac:dyDescent="0.3">
      <c r="A19" s="7" t="s">
        <v>72</v>
      </c>
      <c r="B19" s="7" t="s">
        <v>64</v>
      </c>
      <c r="C19" s="7" t="s">
        <v>73</v>
      </c>
      <c r="D19" s="9" t="s">
        <v>18</v>
      </c>
      <c r="E19" s="7" t="s">
        <v>74</v>
      </c>
      <c r="F19" s="7"/>
    </row>
    <row r="20" spans="1:6" s="4" customFormat="1" ht="48" customHeight="1" x14ac:dyDescent="0.3">
      <c r="A20" s="7" t="s">
        <v>75</v>
      </c>
      <c r="B20" s="7" t="s">
        <v>64</v>
      </c>
      <c r="C20" s="7" t="s">
        <v>76</v>
      </c>
      <c r="D20" s="9" t="s">
        <v>18</v>
      </c>
      <c r="E20" s="7" t="s">
        <v>77</v>
      </c>
      <c r="F20" s="7" t="s">
        <v>78</v>
      </c>
    </row>
    <row r="21" spans="1:6" s="4" customFormat="1" ht="48" customHeight="1" x14ac:dyDescent="0.3">
      <c r="A21" s="7" t="s">
        <v>79</v>
      </c>
      <c r="B21" s="7" t="s">
        <v>64</v>
      </c>
      <c r="C21" s="7" t="s">
        <v>80</v>
      </c>
      <c r="D21" s="9" t="s">
        <v>18</v>
      </c>
      <c r="E21" s="7" t="s">
        <v>81</v>
      </c>
      <c r="F21" s="7"/>
    </row>
    <row r="22" spans="1:6" s="4" customFormat="1" ht="48" customHeight="1" x14ac:dyDescent="0.3">
      <c r="A22" s="7" t="s">
        <v>82</v>
      </c>
      <c r="B22" s="7" t="s">
        <v>64</v>
      </c>
      <c r="C22" s="7" t="s">
        <v>83</v>
      </c>
      <c r="D22" s="10" t="s">
        <v>44</v>
      </c>
      <c r="E22" s="7"/>
      <c r="F22" s="7" t="s">
        <v>84</v>
      </c>
    </row>
    <row r="23" spans="1:6" s="4" customFormat="1" ht="48" customHeight="1" x14ac:dyDescent="0.3">
      <c r="A23" s="7" t="s">
        <v>85</v>
      </c>
      <c r="B23" s="7" t="s">
        <v>64</v>
      </c>
      <c r="C23" s="7" t="s">
        <v>86</v>
      </c>
      <c r="D23" s="10" t="s">
        <v>44</v>
      </c>
      <c r="E23" s="7"/>
      <c r="F23" s="7" t="s">
        <v>87</v>
      </c>
    </row>
    <row r="24" spans="1:6" s="4" customFormat="1" ht="48" customHeight="1" x14ac:dyDescent="0.3">
      <c r="A24" s="7" t="s">
        <v>88</v>
      </c>
      <c r="B24" s="7" t="s">
        <v>64</v>
      </c>
      <c r="C24" s="7" t="s">
        <v>89</v>
      </c>
      <c r="D24" s="10" t="s">
        <v>44</v>
      </c>
      <c r="E24" s="7"/>
      <c r="F24" s="7" t="s">
        <v>90</v>
      </c>
    </row>
    <row r="25" spans="1:6" s="4" customFormat="1" ht="48" customHeight="1" x14ac:dyDescent="0.3">
      <c r="A25" s="7" t="s">
        <v>91</v>
      </c>
      <c r="B25" s="7" t="s">
        <v>64</v>
      </c>
      <c r="C25" s="7" t="s">
        <v>92</v>
      </c>
      <c r="D25" s="10" t="s">
        <v>44</v>
      </c>
      <c r="E25" s="7"/>
      <c r="F25" s="7" t="s">
        <v>93</v>
      </c>
    </row>
    <row r="26" spans="1:6" s="4" customFormat="1" ht="48" customHeight="1" x14ac:dyDescent="0.3">
      <c r="A26" s="7" t="s">
        <v>94</v>
      </c>
      <c r="B26" s="7" t="s">
        <v>64</v>
      </c>
      <c r="C26" s="7" t="s">
        <v>95</v>
      </c>
      <c r="D26" s="10" t="s">
        <v>44</v>
      </c>
      <c r="E26" s="7"/>
      <c r="F26" s="7" t="s">
        <v>96</v>
      </c>
    </row>
    <row r="27" spans="1:6" s="4" customFormat="1" ht="48" customHeight="1" x14ac:dyDescent="0.3">
      <c r="A27" s="7" t="s">
        <v>97</v>
      </c>
      <c r="B27" s="7" t="s">
        <v>98</v>
      </c>
      <c r="C27" s="7" t="s">
        <v>99</v>
      </c>
      <c r="D27" s="9" t="s">
        <v>18</v>
      </c>
      <c r="E27" s="7" t="s">
        <v>100</v>
      </c>
      <c r="F27" s="7"/>
    </row>
    <row r="28" spans="1:6" s="4" customFormat="1" ht="48" customHeight="1" x14ac:dyDescent="0.3">
      <c r="A28" s="7" t="s">
        <v>101</v>
      </c>
      <c r="B28" s="7" t="s">
        <v>98</v>
      </c>
      <c r="C28" s="7" t="s">
        <v>102</v>
      </c>
      <c r="D28" s="9" t="s">
        <v>18</v>
      </c>
      <c r="E28" s="7" t="s">
        <v>103</v>
      </c>
      <c r="F28" s="7"/>
    </row>
    <row r="29" spans="1:6" s="4" customFormat="1" ht="48" customHeight="1" x14ac:dyDescent="0.3">
      <c r="A29" s="7" t="s">
        <v>104</v>
      </c>
      <c r="B29" s="7" t="s">
        <v>98</v>
      </c>
      <c r="C29" s="7" t="s">
        <v>105</v>
      </c>
      <c r="D29" s="9" t="s">
        <v>18</v>
      </c>
      <c r="E29" s="7" t="s">
        <v>106</v>
      </c>
      <c r="F29" s="7"/>
    </row>
    <row r="30" spans="1:6" s="4" customFormat="1" ht="48" customHeight="1" x14ac:dyDescent="0.3">
      <c r="A30" s="7" t="s">
        <v>107</v>
      </c>
      <c r="B30" s="7" t="s">
        <v>98</v>
      </c>
      <c r="C30" s="7" t="s">
        <v>108</v>
      </c>
      <c r="D30" s="9" t="s">
        <v>18</v>
      </c>
      <c r="E30" s="7" t="s">
        <v>109</v>
      </c>
      <c r="F30" s="7" t="s">
        <v>110</v>
      </c>
    </row>
    <row r="31" spans="1:6" s="4" customFormat="1" ht="48" customHeight="1" x14ac:dyDescent="0.3">
      <c r="A31" s="7" t="s">
        <v>111</v>
      </c>
      <c r="B31" s="7" t="s">
        <v>98</v>
      </c>
      <c r="C31" s="7" t="s">
        <v>112</v>
      </c>
      <c r="D31" s="9" t="s">
        <v>18</v>
      </c>
      <c r="E31" s="7" t="s">
        <v>113</v>
      </c>
      <c r="F31" s="7"/>
    </row>
    <row r="32" spans="1:6" s="4" customFormat="1" ht="48" customHeight="1" x14ac:dyDescent="0.3">
      <c r="A32" s="7" t="s">
        <v>114</v>
      </c>
      <c r="B32" s="7" t="s">
        <v>98</v>
      </c>
      <c r="C32" s="7" t="s">
        <v>115</v>
      </c>
      <c r="D32" s="8" t="s">
        <v>9</v>
      </c>
      <c r="E32" s="7" t="s">
        <v>116</v>
      </c>
      <c r="F32" s="7" t="s">
        <v>117</v>
      </c>
    </row>
    <row r="33" spans="1:6" s="4" customFormat="1" ht="48" customHeight="1" x14ac:dyDescent="0.3">
      <c r="A33" s="7" t="s">
        <v>118</v>
      </c>
      <c r="B33" s="7" t="s">
        <v>98</v>
      </c>
      <c r="C33" s="7" t="s">
        <v>119</v>
      </c>
      <c r="D33" s="9" t="s">
        <v>18</v>
      </c>
      <c r="E33" s="7" t="s">
        <v>120</v>
      </c>
      <c r="F33" s="7"/>
    </row>
    <row r="34" spans="1:6" s="4" customFormat="1" ht="48" customHeight="1" x14ac:dyDescent="0.3">
      <c r="A34" s="7" t="s">
        <v>121</v>
      </c>
      <c r="B34" s="7" t="s">
        <v>98</v>
      </c>
      <c r="C34" s="7" t="s">
        <v>122</v>
      </c>
      <c r="D34" s="10" t="s">
        <v>44</v>
      </c>
      <c r="E34" s="7"/>
      <c r="F34" s="7" t="s">
        <v>123</v>
      </c>
    </row>
    <row r="35" spans="1:6" s="4" customFormat="1" ht="48" customHeight="1" x14ac:dyDescent="0.3">
      <c r="A35" s="7" t="s">
        <v>124</v>
      </c>
      <c r="B35" s="7" t="s">
        <v>98</v>
      </c>
      <c r="C35" s="7" t="s">
        <v>125</v>
      </c>
      <c r="D35" s="10" t="s">
        <v>44</v>
      </c>
      <c r="E35" s="7"/>
      <c r="F35" s="7" t="s">
        <v>126</v>
      </c>
    </row>
    <row r="36" spans="1:6" s="4" customFormat="1" ht="48" customHeight="1" x14ac:dyDescent="0.3">
      <c r="A36" s="7" t="s">
        <v>127</v>
      </c>
      <c r="B36" s="7" t="s">
        <v>98</v>
      </c>
      <c r="C36" s="7" t="s">
        <v>128</v>
      </c>
      <c r="D36" s="10" t="s">
        <v>44</v>
      </c>
      <c r="E36" s="7"/>
      <c r="F36" s="7" t="s">
        <v>129</v>
      </c>
    </row>
    <row r="37" spans="1:6" s="4" customFormat="1" ht="48" customHeight="1" x14ac:dyDescent="0.3">
      <c r="A37" s="7" t="s">
        <v>130</v>
      </c>
      <c r="B37" s="7" t="s">
        <v>131</v>
      </c>
      <c r="C37" s="7" t="s">
        <v>132</v>
      </c>
      <c r="D37" s="8" t="s">
        <v>9</v>
      </c>
      <c r="E37" s="7" t="s">
        <v>133</v>
      </c>
      <c r="F37" s="7" t="s">
        <v>134</v>
      </c>
    </row>
    <row r="38" spans="1:6" s="4" customFormat="1" ht="48" customHeight="1" x14ac:dyDescent="0.3">
      <c r="A38" s="7" t="s">
        <v>135</v>
      </c>
      <c r="B38" s="7" t="s">
        <v>131</v>
      </c>
      <c r="C38" s="7" t="s">
        <v>136</v>
      </c>
      <c r="D38" s="8" t="s">
        <v>9</v>
      </c>
      <c r="E38" s="7" t="s">
        <v>137</v>
      </c>
      <c r="F38" s="7" t="s">
        <v>138</v>
      </c>
    </row>
    <row r="39" spans="1:6" s="4" customFormat="1" ht="48" customHeight="1" x14ac:dyDescent="0.3">
      <c r="A39" s="7" t="s">
        <v>139</v>
      </c>
      <c r="B39" s="7" t="s">
        <v>131</v>
      </c>
      <c r="C39" s="7" t="s">
        <v>140</v>
      </c>
      <c r="D39" s="9" t="s">
        <v>18</v>
      </c>
      <c r="E39" s="7" t="s">
        <v>141</v>
      </c>
      <c r="F39" s="7"/>
    </row>
    <row r="40" spans="1:6" s="4" customFormat="1" ht="48" customHeight="1" x14ac:dyDescent="0.3">
      <c r="A40" s="7" t="s">
        <v>142</v>
      </c>
      <c r="B40" s="7" t="s">
        <v>131</v>
      </c>
      <c r="C40" s="7" t="s">
        <v>143</v>
      </c>
      <c r="D40" s="9" t="s">
        <v>18</v>
      </c>
      <c r="E40" s="7" t="s">
        <v>144</v>
      </c>
      <c r="F40" s="7" t="s">
        <v>145</v>
      </c>
    </row>
    <row r="41" spans="1:6" s="4" customFormat="1" ht="48" customHeight="1" x14ac:dyDescent="0.3">
      <c r="A41" s="7" t="s">
        <v>146</v>
      </c>
      <c r="B41" s="7" t="s">
        <v>131</v>
      </c>
      <c r="C41" s="7" t="s">
        <v>147</v>
      </c>
      <c r="D41" s="9" t="s">
        <v>18</v>
      </c>
      <c r="E41" s="7" t="s">
        <v>148</v>
      </c>
      <c r="F41" s="7" t="s">
        <v>149</v>
      </c>
    </row>
    <row r="42" spans="1:6" s="4" customFormat="1" ht="48" customHeight="1" x14ac:dyDescent="0.3">
      <c r="A42" s="7" t="s">
        <v>150</v>
      </c>
      <c r="B42" s="7" t="s">
        <v>151</v>
      </c>
      <c r="C42" s="7" t="s">
        <v>152</v>
      </c>
      <c r="D42" s="10" t="s">
        <v>44</v>
      </c>
      <c r="E42" s="7"/>
      <c r="F42" s="7" t="s">
        <v>153</v>
      </c>
    </row>
    <row r="43" spans="1:6" s="4" customFormat="1" ht="48" customHeight="1" x14ac:dyDescent="0.3">
      <c r="A43" s="7" t="s">
        <v>154</v>
      </c>
      <c r="B43" s="7" t="s">
        <v>151</v>
      </c>
      <c r="C43" s="7" t="s">
        <v>155</v>
      </c>
      <c r="D43" s="10" t="s">
        <v>44</v>
      </c>
      <c r="E43" s="7"/>
      <c r="F43" s="7" t="s">
        <v>156</v>
      </c>
    </row>
    <row r="44" spans="1:6" s="4" customFormat="1" ht="48" customHeight="1" x14ac:dyDescent="0.3">
      <c r="A44" s="7" t="s">
        <v>157</v>
      </c>
      <c r="B44" s="7" t="s">
        <v>151</v>
      </c>
      <c r="C44" s="7" t="s">
        <v>158</v>
      </c>
      <c r="D44" s="10" t="s">
        <v>44</v>
      </c>
      <c r="E44" s="7"/>
      <c r="F44" s="7" t="s">
        <v>159</v>
      </c>
    </row>
    <row r="45" spans="1:6" s="4" customFormat="1" ht="48" customHeight="1" x14ac:dyDescent="0.3">
      <c r="A45" s="7" t="s">
        <v>160</v>
      </c>
      <c r="B45" s="7" t="s">
        <v>151</v>
      </c>
      <c r="C45" s="7" t="s">
        <v>161</v>
      </c>
      <c r="D45" s="10" t="s">
        <v>44</v>
      </c>
      <c r="E45" s="7"/>
      <c r="F45" s="7" t="s">
        <v>162</v>
      </c>
    </row>
    <row r="46" spans="1:6" s="4" customFormat="1" ht="48" customHeight="1" x14ac:dyDescent="0.3">
      <c r="A46" s="7" t="s">
        <v>163</v>
      </c>
      <c r="B46" s="7" t="s">
        <v>151</v>
      </c>
      <c r="C46" s="7" t="s">
        <v>164</v>
      </c>
      <c r="D46" s="10" t="s">
        <v>44</v>
      </c>
      <c r="E46" s="7"/>
      <c r="F46" s="7" t="s">
        <v>165</v>
      </c>
    </row>
    <row r="47" spans="1:6" s="4" customFormat="1" ht="48" customHeight="1" x14ac:dyDescent="0.3">
      <c r="A47" s="7" t="s">
        <v>166</v>
      </c>
      <c r="B47" s="7" t="s">
        <v>151</v>
      </c>
      <c r="C47" s="7" t="s">
        <v>167</v>
      </c>
      <c r="D47" s="9" t="s">
        <v>18</v>
      </c>
      <c r="E47" s="7" t="s">
        <v>168</v>
      </c>
      <c r="F47" s="7" t="s">
        <v>169</v>
      </c>
    </row>
    <row r="48" spans="1:6" s="4" customFormat="1" ht="48" customHeight="1" x14ac:dyDescent="0.3">
      <c r="A48" s="7" t="s">
        <v>170</v>
      </c>
      <c r="B48" s="7" t="s">
        <v>151</v>
      </c>
      <c r="C48" s="7" t="s">
        <v>171</v>
      </c>
      <c r="D48" s="9" t="s">
        <v>18</v>
      </c>
      <c r="E48" s="7" t="s">
        <v>172</v>
      </c>
      <c r="F48" s="7" t="s">
        <v>173</v>
      </c>
    </row>
    <row r="49" spans="1:6" s="4" customFormat="1" ht="48" customHeight="1" x14ac:dyDescent="0.3">
      <c r="A49" s="7" t="s">
        <v>174</v>
      </c>
      <c r="B49" s="7" t="s">
        <v>151</v>
      </c>
      <c r="C49" s="7" t="s">
        <v>175</v>
      </c>
      <c r="D49" s="9" t="s">
        <v>18</v>
      </c>
      <c r="E49" s="7" t="s">
        <v>176</v>
      </c>
      <c r="F49" s="7" t="s">
        <v>177</v>
      </c>
    </row>
    <row r="50" spans="1:6" s="4" customFormat="1" ht="48" customHeight="1" x14ac:dyDescent="0.3">
      <c r="A50" s="7" t="s">
        <v>178</v>
      </c>
      <c r="B50" s="7" t="s">
        <v>151</v>
      </c>
      <c r="C50" s="7" t="s">
        <v>179</v>
      </c>
      <c r="D50" s="8" t="s">
        <v>9</v>
      </c>
      <c r="E50" s="7" t="s">
        <v>180</v>
      </c>
      <c r="F50" s="7" t="s">
        <v>181</v>
      </c>
    </row>
    <row r="51" spans="1:6" s="4" customFormat="1" ht="48" customHeight="1" x14ac:dyDescent="0.3">
      <c r="A51" s="7" t="s">
        <v>182</v>
      </c>
      <c r="B51" s="7" t="s">
        <v>151</v>
      </c>
      <c r="C51" s="7" t="s">
        <v>183</v>
      </c>
      <c r="D51" s="8" t="s">
        <v>9</v>
      </c>
      <c r="E51" s="7" t="s">
        <v>184</v>
      </c>
      <c r="F51" s="7" t="s">
        <v>185</v>
      </c>
    </row>
  </sheetData>
  <autoFilter ref="A1:F51" xr:uid="{28FF4214-B50A-43CE-BFB7-E340FEEA29A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01B4-573D-4F55-BC85-BF80AC9E8E76}">
  <dimension ref="A1:D11"/>
  <sheetViews>
    <sheetView workbookViewId="0"/>
  </sheetViews>
  <sheetFormatPr baseColWidth="10" defaultRowHeight="14.4" x14ac:dyDescent="0.3"/>
  <cols>
    <col min="1" max="1" width="42.77734375" customWidth="1"/>
    <col min="2" max="2" width="14.77734375" customWidth="1"/>
    <col min="3" max="3" width="70.77734375" customWidth="1"/>
    <col min="4" max="4" width="55.77734375" customWidth="1"/>
  </cols>
  <sheetData>
    <row r="1" spans="1:4" ht="30" customHeight="1" x14ac:dyDescent="0.3">
      <c r="A1" s="2" t="s">
        <v>186</v>
      </c>
      <c r="B1" s="2" t="s">
        <v>3</v>
      </c>
      <c r="C1" s="2" t="s">
        <v>4</v>
      </c>
      <c r="D1" s="2" t="s">
        <v>5</v>
      </c>
    </row>
    <row r="2" spans="1:4" s="4" customFormat="1" ht="42" customHeight="1" x14ac:dyDescent="0.3">
      <c r="A2" s="7" t="s">
        <v>187</v>
      </c>
      <c r="B2" s="9" t="s">
        <v>18</v>
      </c>
      <c r="C2" s="7" t="s">
        <v>188</v>
      </c>
      <c r="D2" s="7" t="s">
        <v>189</v>
      </c>
    </row>
    <row r="3" spans="1:4" s="4" customFormat="1" ht="42" customHeight="1" x14ac:dyDescent="0.3">
      <c r="A3" s="7" t="s">
        <v>190</v>
      </c>
      <c r="B3" s="9" t="s">
        <v>18</v>
      </c>
      <c r="C3" s="7" t="s">
        <v>191</v>
      </c>
      <c r="D3" s="7"/>
    </row>
    <row r="4" spans="1:4" s="4" customFormat="1" ht="42" customHeight="1" x14ac:dyDescent="0.3">
      <c r="A4" s="7" t="s">
        <v>192</v>
      </c>
      <c r="B4" s="9" t="s">
        <v>18</v>
      </c>
      <c r="C4" s="7" t="s">
        <v>193</v>
      </c>
      <c r="D4" s="7" t="s">
        <v>194</v>
      </c>
    </row>
    <row r="5" spans="1:4" s="4" customFormat="1" ht="42" customHeight="1" x14ac:dyDescent="0.3">
      <c r="A5" s="7" t="s">
        <v>195</v>
      </c>
      <c r="B5" s="9" t="s">
        <v>18</v>
      </c>
      <c r="C5" s="7" t="s">
        <v>196</v>
      </c>
      <c r="D5" s="7"/>
    </row>
    <row r="6" spans="1:4" s="4" customFormat="1" ht="42" customHeight="1" x14ac:dyDescent="0.3">
      <c r="A6" s="7" t="s">
        <v>197</v>
      </c>
      <c r="B6" s="8" t="s">
        <v>9</v>
      </c>
      <c r="C6" s="7" t="s">
        <v>198</v>
      </c>
      <c r="D6" s="7" t="s">
        <v>199</v>
      </c>
    </row>
    <row r="7" spans="1:4" s="4" customFormat="1" ht="42" customHeight="1" x14ac:dyDescent="0.3">
      <c r="A7" s="7" t="s">
        <v>200</v>
      </c>
      <c r="B7" s="9" t="s">
        <v>18</v>
      </c>
      <c r="C7" s="7" t="s">
        <v>201</v>
      </c>
      <c r="D7" s="7" t="s">
        <v>202</v>
      </c>
    </row>
    <row r="8" spans="1:4" s="4" customFormat="1" ht="42" customHeight="1" x14ac:dyDescent="0.3">
      <c r="A8" s="7" t="s">
        <v>203</v>
      </c>
      <c r="B8" s="8" t="s">
        <v>9</v>
      </c>
      <c r="C8" s="7" t="s">
        <v>204</v>
      </c>
      <c r="D8" s="7" t="s">
        <v>205</v>
      </c>
    </row>
    <row r="9" spans="1:4" s="4" customFormat="1" ht="42" customHeight="1" x14ac:dyDescent="0.3">
      <c r="A9" s="7" t="s">
        <v>206</v>
      </c>
      <c r="B9" s="9" t="s">
        <v>18</v>
      </c>
      <c r="C9" s="7" t="s">
        <v>207</v>
      </c>
      <c r="D9" s="7" t="s">
        <v>208</v>
      </c>
    </row>
    <row r="10" spans="1:4" s="4" customFormat="1" ht="42" customHeight="1" x14ac:dyDescent="0.3">
      <c r="A10" s="7" t="s">
        <v>209</v>
      </c>
      <c r="B10" s="10" t="s">
        <v>44</v>
      </c>
      <c r="C10" s="7"/>
      <c r="D10" s="7" t="s">
        <v>210</v>
      </c>
    </row>
    <row r="11" spans="1:4" s="4" customFormat="1" ht="42" customHeight="1" x14ac:dyDescent="0.3">
      <c r="A11" s="7" t="s">
        <v>211</v>
      </c>
      <c r="B11" s="9" t="s">
        <v>18</v>
      </c>
      <c r="C11" s="7" t="s">
        <v>212</v>
      </c>
      <c r="D11" s="7"/>
    </row>
  </sheetData>
  <autoFilter ref="A1:D11" xr:uid="{0D9B01B4-573D-4F55-BC85-BF80AC9E8E7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C81FB-A6F7-4A04-A6AA-DC7F5DC7EB00}">
  <dimension ref="A1:C18"/>
  <sheetViews>
    <sheetView workbookViewId="0"/>
  </sheetViews>
  <sheetFormatPr baseColWidth="10" defaultRowHeight="14.4" x14ac:dyDescent="0.3"/>
  <cols>
    <col min="1" max="1" width="42.77734375" customWidth="1"/>
    <col min="2" max="2" width="16.77734375" customWidth="1"/>
    <col min="3" max="3" width="28.77734375" customWidth="1"/>
  </cols>
  <sheetData>
    <row r="1" spans="1:3" ht="30" customHeight="1" x14ac:dyDescent="0.3">
      <c r="A1" s="13" t="s">
        <v>213</v>
      </c>
      <c r="B1" s="13"/>
      <c r="C1" s="2"/>
    </row>
    <row r="2" spans="1:3" ht="36" customHeight="1" x14ac:dyDescent="0.3">
      <c r="A2" s="12" t="s">
        <v>214</v>
      </c>
      <c r="B2" s="12"/>
    </row>
    <row r="4" spans="1:3" x14ac:dyDescent="0.3">
      <c r="A4" t="s">
        <v>3</v>
      </c>
      <c r="B4" t="s">
        <v>215</v>
      </c>
      <c r="C4" t="s">
        <v>216</v>
      </c>
    </row>
    <row r="5" spans="1:3" x14ac:dyDescent="0.3">
      <c r="A5" s="5" t="s">
        <v>18</v>
      </c>
      <c r="B5">
        <f>COUNTIF(Fonctionnalites!D:D,"En place")</f>
        <v>23</v>
      </c>
      <c r="C5" s="14">
        <f>B5/50</f>
        <v>0.46</v>
      </c>
    </row>
    <row r="6" spans="1:3" x14ac:dyDescent="0.3">
      <c r="A6" s="3" t="s">
        <v>9</v>
      </c>
      <c r="B6">
        <f>COUNTIF(Fonctionnalites!D:D,"Partiel")</f>
        <v>12</v>
      </c>
      <c r="C6" s="14">
        <f>B6/50</f>
        <v>0.24</v>
      </c>
    </row>
    <row r="7" spans="1:3" x14ac:dyDescent="0.3">
      <c r="A7" s="6" t="s">
        <v>44</v>
      </c>
      <c r="B7">
        <f>COUNTIF(Fonctionnalites!D:D,"Non fait")</f>
        <v>15</v>
      </c>
      <c r="C7" s="14">
        <f>B7/50</f>
        <v>0.3</v>
      </c>
    </row>
    <row r="8" spans="1:3" x14ac:dyDescent="0.3">
      <c r="A8" s="1" t="s">
        <v>217</v>
      </c>
      <c r="B8">
        <f>SUM(B5:B7)</f>
        <v>50</v>
      </c>
    </row>
    <row r="10" spans="1:3" x14ac:dyDescent="0.3">
      <c r="A10" s="1" t="s">
        <v>218</v>
      </c>
    </row>
    <row r="11" spans="1:3" ht="19.95" customHeight="1" x14ac:dyDescent="0.3">
      <c r="A11" s="11" t="s">
        <v>219</v>
      </c>
      <c r="B11" s="11"/>
      <c r="C11" s="11"/>
    </row>
    <row r="12" spans="1:3" ht="19.95" customHeight="1" x14ac:dyDescent="0.3">
      <c r="A12" s="11" t="s">
        <v>220</v>
      </c>
      <c r="B12" s="11"/>
      <c r="C12" s="11"/>
    </row>
    <row r="13" spans="1:3" ht="19.95" customHeight="1" x14ac:dyDescent="0.3">
      <c r="A13" s="11" t="s">
        <v>221</v>
      </c>
      <c r="B13" s="11"/>
      <c r="C13" s="11"/>
    </row>
    <row r="14" spans="1:3" ht="19.95" customHeight="1" x14ac:dyDescent="0.3">
      <c r="A14" s="11" t="s">
        <v>222</v>
      </c>
      <c r="B14" s="11"/>
      <c r="C14" s="11"/>
    </row>
    <row r="15" spans="1:3" ht="19.95" customHeight="1" x14ac:dyDescent="0.3">
      <c r="A15" s="11" t="s">
        <v>223</v>
      </c>
      <c r="B15" s="11"/>
      <c r="C15" s="11"/>
    </row>
    <row r="16" spans="1:3" ht="19.95" customHeight="1" x14ac:dyDescent="0.3">
      <c r="A16" s="11" t="s">
        <v>224</v>
      </c>
      <c r="B16" s="11"/>
      <c r="C16" s="11"/>
    </row>
    <row r="17" spans="1:3" ht="19.95" customHeight="1" x14ac:dyDescent="0.3">
      <c r="A17" s="11" t="s">
        <v>225</v>
      </c>
      <c r="B17" s="11"/>
      <c r="C17" s="11"/>
    </row>
    <row r="18" spans="1:3" ht="19.95" customHeight="1" x14ac:dyDescent="0.3">
      <c r="A18" s="11" t="s">
        <v>226</v>
      </c>
      <c r="B18" s="11"/>
      <c r="C18" s="11"/>
    </row>
  </sheetData>
  <mergeCells count="10">
    <mergeCell ref="A15:C15"/>
    <mergeCell ref="A16:C16"/>
    <mergeCell ref="A17:C17"/>
    <mergeCell ref="A18:C18"/>
    <mergeCell ref="A1:B1"/>
    <mergeCell ref="A2:B2"/>
    <mergeCell ref="A11:C11"/>
    <mergeCell ref="A12:C12"/>
    <mergeCell ref="A13:C13"/>
    <mergeCell ref="A14: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Fonctionnalites</vt:lpstr>
      <vt:lpstr>En plus</vt:lpstr>
      <vt:lpstr>Synthese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Gaëtan SALBER</dc:creator>
  <cp:lastModifiedBy>Gaëtan SALBER</cp:lastModifiedBy>
  <dcterms:created xsi:type="dcterms:W3CDTF">2026-10-26T13:26:30Z</dcterms:created>
  <dcterms:modified xsi:type="dcterms:W3CDTF">2026-10-26T13:26:35Z</dcterms:modified>
</cp:coreProperties>
</file>